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andes-my.sharepoint.com/personal/a_tabaresp_uniandes_edu_co/Documents/Cursos 2024-20/Curso--Network Flow/Proyecto/Datos/"/>
    </mc:Choice>
  </mc:AlternateContent>
  <xr:revisionPtr revIDLastSave="4600" documentId="13_ncr:1_{32C18C27-726D-4C6A-9AF4-A4767347814F}" xr6:coauthVersionLast="47" xr6:coauthVersionMax="47" xr10:uidLastSave="{9594E1C4-95C2-47DA-B5BE-6C0BB5035A96}"/>
  <bookViews>
    <workbookView xWindow="2660" yWindow="2660" windowWidth="28800" windowHeight="15370" tabRatio="810" firstSheet="4" activeTab="7" xr2:uid="{00000000-000D-0000-FFFF-FFFF00000000}"/>
  </bookViews>
  <sheets>
    <sheet name="ATRIBUTOS_RUTAS" sheetId="1" state="hidden" r:id="rId1"/>
    <sheet name="PROGRAMACION" sheetId="2" state="hidden" r:id="rId2"/>
    <sheet name="TimposCicloCB" sheetId="6" state="hidden" r:id="rId3"/>
    <sheet name="10SEP22" sheetId="8" state="hidden" r:id="rId4"/>
    <sheet name="ARCOS" sheetId="53" r:id="rId5"/>
    <sheet name="OFERTA (4)" sheetId="47" r:id="rId6"/>
    <sheet name="D_Plantillas (4.2)" sheetId="51" state="hidden" r:id="rId7"/>
    <sheet name="D_Plantillas (4)" sheetId="48" r:id="rId8"/>
    <sheet name="DESPACHOS_Plantilla (4)" sheetId="49" r:id="rId9"/>
    <sheet name="RESUMEN" sheetId="52" r:id="rId10"/>
    <sheet name="OFERTA (3)" sheetId="44" state="hidden" r:id="rId11"/>
    <sheet name="D_Plantillas (3)" sheetId="46" state="hidden" r:id="rId12"/>
    <sheet name="D_Plantillas (2)" sheetId="45" state="hidden" r:id="rId13"/>
    <sheet name="D_Plantillas" sheetId="32" state="hidden" r:id="rId14"/>
    <sheet name="DESPACHOS_Plantilla (3)" sheetId="34" state="hidden" r:id="rId15"/>
  </sheets>
  <definedNames>
    <definedName name="_xlnm._FilterDatabase" localSheetId="0" hidden="1">ATRIBUTOS_RUTAS!$A$1:$J$1</definedName>
    <definedName name="_xlnm._FilterDatabase" localSheetId="13" hidden="1">D_Plantillas!$B$3:$Z$74</definedName>
    <definedName name="_xlnm._FilterDatabase" localSheetId="12" hidden="1">'D_Plantillas (2)'!$B$3:$Z$74</definedName>
    <definedName name="_xlnm._FilterDatabase" localSheetId="11" hidden="1">'D_Plantillas (3)'!$B$3:$Z$74</definedName>
    <definedName name="_xlnm._FilterDatabase" localSheetId="7" hidden="1">'D_Plantillas (4)'!$C$3:$W$74</definedName>
    <definedName name="_xlnm._FilterDatabase" localSheetId="6" hidden="1">'D_Plantillas (4.2)'!$B$3:$Z$74</definedName>
    <definedName name="_xlnm._FilterDatabase" localSheetId="14" hidden="1">'DESPACHOS_Plantilla (3)'!$C$1:$Q$72</definedName>
    <definedName name="_xlnm._FilterDatabase" localSheetId="8" hidden="1">'DESPACHOS_Plantilla (4)'!$A$1:$A$72</definedName>
    <definedName name="_xlcn.WorksheetConnection_DiseñoRutas_Turnos.xlsxPangra" hidden="1">Pangra</definedName>
    <definedName name="SegmentaciónDeDatos_BUS1">#N/A</definedName>
  </definedNames>
  <calcPr calcId="191029"/>
  <pivotCaches>
    <pivotCache cacheId="0" r:id="rId1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ngra" name="Pangra" connection="WorksheetConnection_DiseñoRutas_Turnos.xlsx!Pang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53" l="1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R107" i="48" l="1"/>
  <c r="S107" i="48"/>
  <c r="V107" i="48" s="1"/>
  <c r="X107" i="48" s="1"/>
  <c r="T107" i="48"/>
  <c r="U107" i="48"/>
  <c r="Y107" i="48" s="1"/>
  <c r="R108" i="48"/>
  <c r="S108" i="48"/>
  <c r="T108" i="48"/>
  <c r="U108" i="48" s="1"/>
  <c r="Y108" i="48" s="1"/>
  <c r="V108" i="48"/>
  <c r="X108" i="48" s="1"/>
  <c r="E108" i="48"/>
  <c r="F108" i="48"/>
  <c r="I108" i="48" s="1"/>
  <c r="K108" i="48" s="1"/>
  <c r="G108" i="48"/>
  <c r="H108" i="48"/>
  <c r="L108" i="48" s="1"/>
  <c r="E109" i="48"/>
  <c r="F109" i="48"/>
  <c r="I109" i="48" s="1"/>
  <c r="K109" i="48" s="1"/>
  <c r="G109" i="48"/>
  <c r="H109" i="48" s="1"/>
  <c r="L109" i="48" s="1"/>
  <c r="E110" i="48"/>
  <c r="F110" i="48"/>
  <c r="I110" i="48" s="1"/>
  <c r="K110" i="48" s="1"/>
  <c r="G110" i="48"/>
  <c r="H110" i="48"/>
  <c r="L110" i="48" s="1"/>
  <c r="E111" i="48"/>
  <c r="F111" i="48"/>
  <c r="I111" i="48" s="1"/>
  <c r="K111" i="48" s="1"/>
  <c r="G111" i="48"/>
  <c r="H111" i="48"/>
  <c r="L111" i="48" s="1"/>
  <c r="E107" i="48"/>
  <c r="F107" i="48"/>
  <c r="I107" i="48" s="1"/>
  <c r="K107" i="48" s="1"/>
  <c r="G107" i="48"/>
  <c r="H107" i="48"/>
  <c r="L107" i="48" s="1"/>
  <c r="R106" i="48"/>
  <c r="S106" i="48"/>
  <c r="V106" i="48" s="1"/>
  <c r="X106" i="48" s="1"/>
  <c r="T106" i="48"/>
  <c r="U106" i="48" s="1"/>
  <c r="Y106" i="48" s="1"/>
  <c r="R105" i="48"/>
  <c r="S105" i="48"/>
  <c r="V105" i="48" s="1"/>
  <c r="X105" i="48" s="1"/>
  <c r="T105" i="48"/>
  <c r="U105" i="48" s="1"/>
  <c r="Y105" i="48" s="1"/>
  <c r="T104" i="48"/>
  <c r="U104" i="48" s="1"/>
  <c r="Y104" i="48" s="1"/>
  <c r="S104" i="48"/>
  <c r="V104" i="48" s="1"/>
  <c r="X104" i="48" s="1"/>
  <c r="R104" i="48"/>
  <c r="S96" i="48"/>
  <c r="S97" i="48"/>
  <c r="S98" i="48"/>
  <c r="S99" i="48"/>
  <c r="S100" i="48"/>
  <c r="S101" i="48"/>
  <c r="S102" i="48"/>
  <c r="S103" i="48"/>
  <c r="V103" i="48" s="1"/>
  <c r="X103" i="48" s="1"/>
  <c r="S4" i="48"/>
  <c r="S5" i="48"/>
  <c r="S6" i="48"/>
  <c r="V6" i="48" s="1"/>
  <c r="X6" i="48" s="1"/>
  <c r="S7" i="48"/>
  <c r="V7" i="48" s="1"/>
  <c r="S8" i="48"/>
  <c r="V8" i="48" s="1"/>
  <c r="X8" i="48" s="1"/>
  <c r="S9" i="48"/>
  <c r="V9" i="48" s="1"/>
  <c r="S10" i="48"/>
  <c r="V10" i="48" s="1"/>
  <c r="X10" i="48" s="1"/>
  <c r="S11" i="48"/>
  <c r="V11" i="48" s="1"/>
  <c r="S12" i="48"/>
  <c r="V12" i="48" s="1"/>
  <c r="S13" i="48"/>
  <c r="V13" i="48" s="1"/>
  <c r="S14" i="48"/>
  <c r="S15" i="48"/>
  <c r="S16" i="48"/>
  <c r="S17" i="48"/>
  <c r="S18" i="48"/>
  <c r="S19" i="48"/>
  <c r="S20" i="48"/>
  <c r="S21" i="48"/>
  <c r="S22" i="48"/>
  <c r="S23" i="48"/>
  <c r="S24" i="48"/>
  <c r="S25" i="48"/>
  <c r="S26" i="48"/>
  <c r="S27" i="48"/>
  <c r="S28" i="48"/>
  <c r="S29" i="48"/>
  <c r="S30" i="48"/>
  <c r="S31" i="48"/>
  <c r="S32" i="48"/>
  <c r="S33" i="48"/>
  <c r="S34" i="48"/>
  <c r="S35" i="48"/>
  <c r="S36" i="48"/>
  <c r="S37" i="48"/>
  <c r="S38" i="48"/>
  <c r="V38" i="48" s="1"/>
  <c r="S39" i="48"/>
  <c r="V39" i="48" s="1"/>
  <c r="S40" i="48"/>
  <c r="V40" i="48" s="1"/>
  <c r="S41" i="48"/>
  <c r="S42" i="48"/>
  <c r="S43" i="48"/>
  <c r="S44" i="48"/>
  <c r="V44" i="48" s="1"/>
  <c r="S45" i="48"/>
  <c r="V45" i="48" s="1"/>
  <c r="S46" i="48"/>
  <c r="V46" i="48" s="1"/>
  <c r="S47" i="48"/>
  <c r="V47" i="48" s="1"/>
  <c r="S48" i="48"/>
  <c r="V48" i="48" s="1"/>
  <c r="S49" i="48"/>
  <c r="S50" i="48"/>
  <c r="S51" i="48"/>
  <c r="S52" i="48"/>
  <c r="S53" i="48"/>
  <c r="S54" i="48"/>
  <c r="S55" i="48"/>
  <c r="S56" i="48"/>
  <c r="S57" i="48"/>
  <c r="S58" i="48"/>
  <c r="S59" i="48"/>
  <c r="S60" i="48"/>
  <c r="S61" i="48"/>
  <c r="S62" i="48"/>
  <c r="S63" i="48"/>
  <c r="S64" i="48"/>
  <c r="S65" i="48"/>
  <c r="S66" i="48"/>
  <c r="S67" i="48"/>
  <c r="S68" i="48"/>
  <c r="S69" i="48"/>
  <c r="S70" i="48"/>
  <c r="S71" i="48"/>
  <c r="V71" i="48" s="1"/>
  <c r="X71" i="48" s="1"/>
  <c r="S72" i="48"/>
  <c r="V72" i="48" s="1"/>
  <c r="S73" i="48"/>
  <c r="V73" i="48" s="1"/>
  <c r="S74" i="48"/>
  <c r="V74" i="48" s="1"/>
  <c r="X74" i="48" s="1"/>
  <c r="S75" i="48"/>
  <c r="V75" i="48" s="1"/>
  <c r="S76" i="48"/>
  <c r="V76" i="48" s="1"/>
  <c r="S77" i="48"/>
  <c r="V77" i="48" s="1"/>
  <c r="X77" i="48" s="1"/>
  <c r="S78" i="48"/>
  <c r="V78" i="48" s="1"/>
  <c r="S79" i="48"/>
  <c r="V79" i="48" s="1"/>
  <c r="S80" i="48"/>
  <c r="S81" i="48"/>
  <c r="S82" i="48"/>
  <c r="S83" i="48"/>
  <c r="S84" i="48"/>
  <c r="S85" i="48"/>
  <c r="S86" i="48"/>
  <c r="S87" i="48"/>
  <c r="S88" i="48"/>
  <c r="S89" i="48"/>
  <c r="S90" i="48"/>
  <c r="S91" i="48"/>
  <c r="S92" i="48"/>
  <c r="S93" i="48"/>
  <c r="S94" i="48"/>
  <c r="S95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4" i="48"/>
  <c r="R103" i="48"/>
  <c r="T103" i="48"/>
  <c r="U103" i="48" s="1"/>
  <c r="Y103" i="48" s="1"/>
  <c r="R77" i="48"/>
  <c r="T77" i="48"/>
  <c r="U77" i="48" s="1"/>
  <c r="Y77" i="48" s="1"/>
  <c r="R78" i="48"/>
  <c r="T78" i="48"/>
  <c r="U78" i="48" s="1"/>
  <c r="R79" i="48"/>
  <c r="T79" i="48"/>
  <c r="U79" i="48" s="1"/>
  <c r="R74" i="48"/>
  <c r="T74" i="48"/>
  <c r="U74" i="48" s="1"/>
  <c r="Y74" i="48" s="1"/>
  <c r="R75" i="48"/>
  <c r="T75" i="48"/>
  <c r="U75" i="48" s="1"/>
  <c r="R76" i="48"/>
  <c r="T76" i="48"/>
  <c r="U76" i="48" s="1"/>
  <c r="R71" i="48"/>
  <c r="T71" i="48"/>
  <c r="U71" i="48" s="1"/>
  <c r="Y71" i="48" s="1"/>
  <c r="R72" i="48"/>
  <c r="T72" i="48"/>
  <c r="U72" i="48" s="1"/>
  <c r="R73" i="48"/>
  <c r="T73" i="48"/>
  <c r="U73" i="48" s="1"/>
  <c r="R44" i="48"/>
  <c r="T44" i="48"/>
  <c r="U44" i="48" s="1"/>
  <c r="R45" i="48"/>
  <c r="T45" i="48"/>
  <c r="U45" i="48" s="1"/>
  <c r="R46" i="48"/>
  <c r="T46" i="48"/>
  <c r="U46" i="48" s="1"/>
  <c r="R47" i="48"/>
  <c r="T47" i="48"/>
  <c r="U47" i="48" s="1"/>
  <c r="R48" i="48"/>
  <c r="T48" i="48"/>
  <c r="U48" i="48" s="1"/>
  <c r="R40" i="48"/>
  <c r="T40" i="48"/>
  <c r="U40" i="48" s="1"/>
  <c r="R38" i="48"/>
  <c r="T38" i="48"/>
  <c r="U38" i="48" s="1"/>
  <c r="R39" i="48"/>
  <c r="T39" i="48"/>
  <c r="U39" i="48" s="1"/>
  <c r="R10" i="48"/>
  <c r="T10" i="48"/>
  <c r="U10" i="48" s="1"/>
  <c r="Y10" i="48" s="1"/>
  <c r="R11" i="48"/>
  <c r="T11" i="48"/>
  <c r="U11" i="48" s="1"/>
  <c r="R12" i="48"/>
  <c r="T12" i="48"/>
  <c r="U12" i="48" s="1"/>
  <c r="R13" i="48"/>
  <c r="T13" i="48"/>
  <c r="U13" i="48" s="1"/>
  <c r="R8" i="48"/>
  <c r="T8" i="48"/>
  <c r="U8" i="48" s="1"/>
  <c r="Y8" i="48" s="1"/>
  <c r="R9" i="48"/>
  <c r="T9" i="48"/>
  <c r="U9" i="48" s="1"/>
  <c r="R6" i="48"/>
  <c r="T6" i="48"/>
  <c r="U6" i="48" s="1"/>
  <c r="Y6" i="48" s="1"/>
  <c r="R7" i="48"/>
  <c r="T7" i="48"/>
  <c r="U7" i="48" s="1"/>
  <c r="E44" i="48" l="1"/>
  <c r="I44" i="48"/>
  <c r="G44" i="48"/>
  <c r="H44" i="48"/>
  <c r="E45" i="48"/>
  <c r="I45" i="48"/>
  <c r="G45" i="48"/>
  <c r="H45" i="48" s="1"/>
  <c r="E46" i="48"/>
  <c r="I46" i="48"/>
  <c r="G46" i="48"/>
  <c r="H46" i="48" s="1"/>
  <c r="E47" i="48"/>
  <c r="I47" i="48"/>
  <c r="G47" i="48"/>
  <c r="H47" i="48" s="1"/>
  <c r="E48" i="48"/>
  <c r="I48" i="48"/>
  <c r="G48" i="48"/>
  <c r="H48" i="48" s="1"/>
  <c r="E18" i="48"/>
  <c r="I18" i="48"/>
  <c r="K18" i="48" s="1"/>
  <c r="G18" i="48"/>
  <c r="H18" i="48" s="1"/>
  <c r="L18" i="48" s="1"/>
  <c r="E19" i="48"/>
  <c r="I19" i="48"/>
  <c r="G19" i="48"/>
  <c r="H19" i="48" s="1"/>
  <c r="E20" i="48"/>
  <c r="I20" i="48"/>
  <c r="K20" i="48" s="1"/>
  <c r="G20" i="48"/>
  <c r="H20" i="48" s="1"/>
  <c r="L20" i="48" s="1"/>
  <c r="E15" i="48"/>
  <c r="I15" i="48"/>
  <c r="K15" i="48" s="1"/>
  <c r="G15" i="48"/>
  <c r="H15" i="48" s="1"/>
  <c r="L15" i="48" s="1"/>
  <c r="E16" i="48"/>
  <c r="I16" i="48"/>
  <c r="K16" i="48" s="1"/>
  <c r="G16" i="48"/>
  <c r="H16" i="48" s="1"/>
  <c r="L16" i="48" s="1"/>
  <c r="E17" i="48"/>
  <c r="I17" i="48"/>
  <c r="G17" i="48"/>
  <c r="H17" i="48" s="1"/>
  <c r="E13" i="48"/>
  <c r="I13" i="48"/>
  <c r="K13" i="48" s="1"/>
  <c r="G13" i="48"/>
  <c r="H13" i="48" s="1"/>
  <c r="L13" i="48" s="1"/>
  <c r="E14" i="48"/>
  <c r="I14" i="48"/>
  <c r="G14" i="48"/>
  <c r="H14" i="48" s="1"/>
  <c r="R100" i="48"/>
  <c r="V100" i="48"/>
  <c r="T100" i="48"/>
  <c r="U100" i="48" s="1"/>
  <c r="R101" i="48"/>
  <c r="V101" i="48"/>
  <c r="T101" i="48"/>
  <c r="U101" i="48" s="1"/>
  <c r="R97" i="48"/>
  <c r="V97" i="48"/>
  <c r="T97" i="48"/>
  <c r="U97" i="48" s="1"/>
  <c r="R98" i="48"/>
  <c r="V98" i="48"/>
  <c r="T98" i="48"/>
  <c r="U98" i="48" s="1"/>
  <c r="R99" i="48"/>
  <c r="V99" i="48"/>
  <c r="T99" i="48"/>
  <c r="U99" i="48" s="1"/>
  <c r="E105" i="48"/>
  <c r="I105" i="48"/>
  <c r="G105" i="48"/>
  <c r="H105" i="48" s="1"/>
  <c r="E106" i="48"/>
  <c r="I106" i="48"/>
  <c r="G106" i="48"/>
  <c r="H106" i="48" s="1"/>
  <c r="E102" i="48"/>
  <c r="I102" i="48"/>
  <c r="G102" i="48"/>
  <c r="H102" i="48" s="1"/>
  <c r="E103" i="48"/>
  <c r="I103" i="48"/>
  <c r="G103" i="48"/>
  <c r="H103" i="48" s="1"/>
  <c r="E104" i="48"/>
  <c r="I104" i="48"/>
  <c r="G104" i="48"/>
  <c r="H104" i="48" s="1"/>
  <c r="E101" i="48"/>
  <c r="I101" i="48"/>
  <c r="G101" i="48"/>
  <c r="H101" i="48" s="1"/>
  <c r="R96" i="48"/>
  <c r="T96" i="48"/>
  <c r="U96" i="48" s="1"/>
  <c r="V64" i="48"/>
  <c r="E75" i="48"/>
  <c r="I75" i="48"/>
  <c r="G75" i="48"/>
  <c r="H75" i="48" s="1"/>
  <c r="E76" i="48"/>
  <c r="I76" i="48"/>
  <c r="G76" i="48"/>
  <c r="H76" i="48" s="1"/>
  <c r="I77" i="48"/>
  <c r="G77" i="48"/>
  <c r="H77" i="48" s="1"/>
  <c r="I78" i="48"/>
  <c r="G78" i="48"/>
  <c r="H78" i="48" s="1"/>
  <c r="E79" i="48"/>
  <c r="I79" i="48"/>
  <c r="G79" i="48"/>
  <c r="H79" i="48" s="1"/>
  <c r="E80" i="48"/>
  <c r="I80" i="48"/>
  <c r="G80" i="48"/>
  <c r="H80" i="48" s="1"/>
  <c r="E81" i="48"/>
  <c r="I81" i="48"/>
  <c r="G81" i="48"/>
  <c r="H81" i="48" s="1"/>
  <c r="E82" i="48"/>
  <c r="I82" i="48"/>
  <c r="G82" i="48"/>
  <c r="H82" i="48" s="1"/>
  <c r="E83" i="48"/>
  <c r="I83" i="48"/>
  <c r="G83" i="48"/>
  <c r="H83" i="48" s="1"/>
  <c r="E84" i="48"/>
  <c r="I84" i="48"/>
  <c r="G84" i="48"/>
  <c r="H84" i="48" s="1"/>
  <c r="E85" i="48"/>
  <c r="I85" i="48"/>
  <c r="G85" i="48"/>
  <c r="H85" i="48" s="1"/>
  <c r="E86" i="48"/>
  <c r="I86" i="48"/>
  <c r="G86" i="48"/>
  <c r="H86" i="48" s="1"/>
  <c r="E87" i="48"/>
  <c r="I87" i="48"/>
  <c r="G87" i="48"/>
  <c r="H87" i="48" s="1"/>
  <c r="E88" i="48"/>
  <c r="I88" i="48"/>
  <c r="G88" i="48"/>
  <c r="H88" i="48" s="1"/>
  <c r="E89" i="48"/>
  <c r="I89" i="48"/>
  <c r="G89" i="48"/>
  <c r="H89" i="48" s="1"/>
  <c r="E90" i="48"/>
  <c r="I90" i="48"/>
  <c r="G90" i="48"/>
  <c r="H90" i="48" s="1"/>
  <c r="E91" i="48"/>
  <c r="I91" i="48"/>
  <c r="G91" i="48"/>
  <c r="H91" i="48" s="1"/>
  <c r="E92" i="48"/>
  <c r="I92" i="48"/>
  <c r="G92" i="48"/>
  <c r="H92" i="48" s="1"/>
  <c r="E93" i="48"/>
  <c r="I93" i="48"/>
  <c r="G93" i="48"/>
  <c r="H93" i="48" s="1"/>
  <c r="E94" i="48"/>
  <c r="I94" i="48"/>
  <c r="G94" i="48"/>
  <c r="H94" i="48" s="1"/>
  <c r="E95" i="48"/>
  <c r="I95" i="48"/>
  <c r="G95" i="48"/>
  <c r="H95" i="48" s="1"/>
  <c r="E96" i="48"/>
  <c r="I96" i="48"/>
  <c r="G96" i="48"/>
  <c r="H96" i="48" s="1"/>
  <c r="E97" i="48"/>
  <c r="I97" i="48"/>
  <c r="G97" i="48"/>
  <c r="H97" i="48" s="1"/>
  <c r="E98" i="48"/>
  <c r="I98" i="48"/>
  <c r="G98" i="48"/>
  <c r="H98" i="48" s="1"/>
  <c r="E99" i="48"/>
  <c r="I99" i="48"/>
  <c r="G99" i="48"/>
  <c r="H99" i="48" s="1"/>
  <c r="E100" i="48"/>
  <c r="I100" i="48"/>
  <c r="G100" i="48"/>
  <c r="H100" i="48" s="1"/>
  <c r="E71" i="48"/>
  <c r="I71" i="48"/>
  <c r="K71" i="48" s="1"/>
  <c r="G71" i="48"/>
  <c r="H71" i="48" s="1"/>
  <c r="L71" i="48" s="1"/>
  <c r="E72" i="48"/>
  <c r="I72" i="48"/>
  <c r="G72" i="48"/>
  <c r="E73" i="48"/>
  <c r="I73" i="48"/>
  <c r="G73" i="48"/>
  <c r="H73" i="48" s="1"/>
  <c r="E74" i="48"/>
  <c r="I74" i="48"/>
  <c r="G74" i="48"/>
  <c r="R63" i="48"/>
  <c r="V63" i="48"/>
  <c r="X63" i="48" s="1"/>
  <c r="T63" i="48"/>
  <c r="U63" i="48" s="1"/>
  <c r="Y63" i="48" s="1"/>
  <c r="R64" i="48"/>
  <c r="T64" i="48"/>
  <c r="E49" i="48"/>
  <c r="I49" i="48"/>
  <c r="G49" i="48"/>
  <c r="H49" i="48" s="1"/>
  <c r="E50" i="48"/>
  <c r="I50" i="48"/>
  <c r="G50" i="48"/>
  <c r="H50" i="48" s="1"/>
  <c r="E51" i="48"/>
  <c r="I51" i="48"/>
  <c r="G51" i="48"/>
  <c r="H51" i="48" s="1"/>
  <c r="E52" i="48"/>
  <c r="I52" i="48"/>
  <c r="G52" i="48"/>
  <c r="H52" i="48" s="1"/>
  <c r="E53" i="48"/>
  <c r="I53" i="48"/>
  <c r="G53" i="48"/>
  <c r="H53" i="48" s="1"/>
  <c r="E54" i="48"/>
  <c r="I54" i="48"/>
  <c r="G54" i="48"/>
  <c r="H54" i="48" s="1"/>
  <c r="E55" i="48"/>
  <c r="I55" i="48"/>
  <c r="G55" i="48"/>
  <c r="H55" i="48" s="1"/>
  <c r="E56" i="48"/>
  <c r="I56" i="48"/>
  <c r="G56" i="48"/>
  <c r="H56" i="48" s="1"/>
  <c r="E57" i="48"/>
  <c r="I57" i="48"/>
  <c r="G57" i="48"/>
  <c r="H57" i="48" s="1"/>
  <c r="E58" i="48"/>
  <c r="I58" i="48"/>
  <c r="G58" i="48"/>
  <c r="H58" i="48" s="1"/>
  <c r="E59" i="48"/>
  <c r="I59" i="48"/>
  <c r="G59" i="48"/>
  <c r="H59" i="48" s="1"/>
  <c r="E60" i="48"/>
  <c r="I60" i="48"/>
  <c r="G60" i="48"/>
  <c r="H60" i="48" s="1"/>
  <c r="E61" i="48"/>
  <c r="I61" i="48"/>
  <c r="G61" i="48"/>
  <c r="H61" i="48" s="1"/>
  <c r="E62" i="48"/>
  <c r="I62" i="48"/>
  <c r="G62" i="48"/>
  <c r="H62" i="48" s="1"/>
  <c r="E63" i="48"/>
  <c r="I63" i="48"/>
  <c r="G63" i="48"/>
  <c r="H63" i="48" s="1"/>
  <c r="E64" i="48"/>
  <c r="I64" i="48"/>
  <c r="G64" i="48"/>
  <c r="H64" i="48" s="1"/>
  <c r="E65" i="48"/>
  <c r="I65" i="48"/>
  <c r="G65" i="48"/>
  <c r="H65" i="48" s="1"/>
  <c r="E66" i="48"/>
  <c r="I66" i="48"/>
  <c r="G66" i="48"/>
  <c r="H66" i="48" s="1"/>
  <c r="E67" i="48"/>
  <c r="I67" i="48"/>
  <c r="G67" i="48"/>
  <c r="H67" i="48" s="1"/>
  <c r="E68" i="48"/>
  <c r="I68" i="48"/>
  <c r="G68" i="48"/>
  <c r="H68" i="48" s="1"/>
  <c r="E69" i="48"/>
  <c r="I69" i="48"/>
  <c r="G69" i="48"/>
  <c r="H69" i="48" s="1"/>
  <c r="E70" i="48"/>
  <c r="I70" i="48"/>
  <c r="G70" i="48"/>
  <c r="H70" i="48" s="1"/>
  <c r="R41" i="48"/>
  <c r="V41" i="48"/>
  <c r="T41" i="48"/>
  <c r="U41" i="48" s="1"/>
  <c r="R42" i="48"/>
  <c r="V42" i="48"/>
  <c r="T42" i="48"/>
  <c r="U42" i="48" s="1"/>
  <c r="R43" i="48"/>
  <c r="V43" i="48"/>
  <c r="T43" i="48"/>
  <c r="U43" i="48" s="1"/>
  <c r="R49" i="48"/>
  <c r="V49" i="48"/>
  <c r="T49" i="48"/>
  <c r="U49" i="48" s="1"/>
  <c r="R50" i="48"/>
  <c r="V50" i="48"/>
  <c r="T50" i="48"/>
  <c r="U50" i="48" s="1"/>
  <c r="R51" i="48"/>
  <c r="V51" i="48"/>
  <c r="T51" i="48"/>
  <c r="U51" i="48" s="1"/>
  <c r="R52" i="48"/>
  <c r="V52" i="48"/>
  <c r="T52" i="48"/>
  <c r="U52" i="48" s="1"/>
  <c r="R53" i="48"/>
  <c r="V53" i="48"/>
  <c r="T53" i="48"/>
  <c r="U53" i="48" s="1"/>
  <c r="R54" i="48"/>
  <c r="V54" i="48"/>
  <c r="T54" i="48"/>
  <c r="U54" i="48" s="1"/>
  <c r="R55" i="48"/>
  <c r="V55" i="48"/>
  <c r="T55" i="48"/>
  <c r="U55" i="48" s="1"/>
  <c r="R56" i="48"/>
  <c r="V56" i="48"/>
  <c r="T56" i="48"/>
  <c r="U56" i="48" s="1"/>
  <c r="R57" i="48"/>
  <c r="V57" i="48"/>
  <c r="T57" i="48"/>
  <c r="U57" i="48" s="1"/>
  <c r="R58" i="48"/>
  <c r="V58" i="48"/>
  <c r="T58" i="48"/>
  <c r="U58" i="48" s="1"/>
  <c r="R59" i="48"/>
  <c r="V59" i="48"/>
  <c r="T59" i="48"/>
  <c r="U59" i="48" s="1"/>
  <c r="R60" i="48"/>
  <c r="V60" i="48"/>
  <c r="T60" i="48"/>
  <c r="U60" i="48" s="1"/>
  <c r="R61" i="48"/>
  <c r="V61" i="48"/>
  <c r="T61" i="48"/>
  <c r="U61" i="48" s="1"/>
  <c r="R62" i="48"/>
  <c r="V62" i="48"/>
  <c r="T62" i="48"/>
  <c r="U62" i="48" s="1"/>
  <c r="R65" i="48"/>
  <c r="V65" i="48"/>
  <c r="T65" i="48"/>
  <c r="R66" i="48"/>
  <c r="V66" i="48"/>
  <c r="T66" i="48"/>
  <c r="R67" i="48"/>
  <c r="V67" i="48"/>
  <c r="T67" i="48"/>
  <c r="U67" i="48" s="1"/>
  <c r="R68" i="48"/>
  <c r="V68" i="48"/>
  <c r="T68" i="48"/>
  <c r="U68" i="48" s="1"/>
  <c r="R69" i="48"/>
  <c r="V69" i="48"/>
  <c r="T69" i="48"/>
  <c r="U69" i="48" s="1"/>
  <c r="R70" i="48"/>
  <c r="V70" i="48"/>
  <c r="T70" i="48"/>
  <c r="U70" i="48" s="1"/>
  <c r="R80" i="48"/>
  <c r="V80" i="48"/>
  <c r="T80" i="48"/>
  <c r="U80" i="48" s="1"/>
  <c r="R81" i="48"/>
  <c r="V81" i="48"/>
  <c r="T81" i="48"/>
  <c r="U81" i="48" s="1"/>
  <c r="R82" i="48"/>
  <c r="V82" i="48"/>
  <c r="T82" i="48"/>
  <c r="U82" i="48" s="1"/>
  <c r="R83" i="48"/>
  <c r="V83" i="48"/>
  <c r="T83" i="48"/>
  <c r="U83" i="48" s="1"/>
  <c r="R84" i="48"/>
  <c r="V84" i="48"/>
  <c r="T84" i="48"/>
  <c r="U84" i="48" s="1"/>
  <c r="R85" i="48"/>
  <c r="V85" i="48"/>
  <c r="T85" i="48"/>
  <c r="U85" i="48" s="1"/>
  <c r="R86" i="48"/>
  <c r="V86" i="48"/>
  <c r="T86" i="48"/>
  <c r="U86" i="48" s="1"/>
  <c r="R87" i="48"/>
  <c r="V87" i="48"/>
  <c r="T87" i="48"/>
  <c r="U87" i="48" s="1"/>
  <c r="R88" i="48"/>
  <c r="V88" i="48"/>
  <c r="T88" i="48"/>
  <c r="U88" i="48" s="1"/>
  <c r="R89" i="48"/>
  <c r="V89" i="48"/>
  <c r="T89" i="48"/>
  <c r="U89" i="48" s="1"/>
  <c r="R90" i="48"/>
  <c r="V90" i="48"/>
  <c r="T90" i="48"/>
  <c r="U90" i="48" s="1"/>
  <c r="R91" i="48"/>
  <c r="V91" i="48"/>
  <c r="T91" i="48"/>
  <c r="U91" i="48" s="1"/>
  <c r="R92" i="48"/>
  <c r="V92" i="48"/>
  <c r="T92" i="48"/>
  <c r="U92" i="48" s="1"/>
  <c r="R93" i="48"/>
  <c r="V93" i="48"/>
  <c r="T93" i="48"/>
  <c r="U93" i="48" s="1"/>
  <c r="R94" i="48"/>
  <c r="V94" i="48"/>
  <c r="T94" i="48"/>
  <c r="U94" i="48" s="1"/>
  <c r="R95" i="48"/>
  <c r="V95" i="48"/>
  <c r="T95" i="48"/>
  <c r="R102" i="48"/>
  <c r="V102" i="48"/>
  <c r="T102" i="48"/>
  <c r="U102" i="48" s="1"/>
  <c r="E21" i="48"/>
  <c r="I21" i="48"/>
  <c r="G21" i="48"/>
  <c r="H21" i="48" s="1"/>
  <c r="E22" i="48"/>
  <c r="I22" i="48"/>
  <c r="G22" i="48"/>
  <c r="H22" i="48" s="1"/>
  <c r="E23" i="48"/>
  <c r="I23" i="48"/>
  <c r="G23" i="48"/>
  <c r="H23" i="48" s="1"/>
  <c r="E24" i="48"/>
  <c r="I24" i="48"/>
  <c r="G24" i="48"/>
  <c r="H24" i="48" s="1"/>
  <c r="E25" i="48"/>
  <c r="I25" i="48"/>
  <c r="G25" i="48"/>
  <c r="H25" i="48" s="1"/>
  <c r="E26" i="48"/>
  <c r="I26" i="48"/>
  <c r="G26" i="48"/>
  <c r="H26" i="48" s="1"/>
  <c r="E27" i="48"/>
  <c r="I27" i="48"/>
  <c r="G27" i="48"/>
  <c r="H27" i="48" s="1"/>
  <c r="E28" i="48"/>
  <c r="I28" i="48"/>
  <c r="G28" i="48"/>
  <c r="H28" i="48" s="1"/>
  <c r="E29" i="48"/>
  <c r="I29" i="48"/>
  <c r="G29" i="48"/>
  <c r="H29" i="48" s="1"/>
  <c r="E30" i="48"/>
  <c r="I30" i="48"/>
  <c r="G30" i="48"/>
  <c r="H30" i="48" s="1"/>
  <c r="E31" i="48"/>
  <c r="I31" i="48"/>
  <c r="G31" i="48"/>
  <c r="H31" i="48" s="1"/>
  <c r="E32" i="48"/>
  <c r="I32" i="48"/>
  <c r="G32" i="48"/>
  <c r="H32" i="48" s="1"/>
  <c r="E33" i="48"/>
  <c r="I33" i="48"/>
  <c r="G33" i="48"/>
  <c r="H33" i="48" s="1"/>
  <c r="E34" i="48"/>
  <c r="I34" i="48"/>
  <c r="G34" i="48"/>
  <c r="H34" i="48" s="1"/>
  <c r="E35" i="48"/>
  <c r="I35" i="48"/>
  <c r="G35" i="48"/>
  <c r="H35" i="48" s="1"/>
  <c r="E36" i="48"/>
  <c r="I36" i="48"/>
  <c r="G36" i="48"/>
  <c r="H36" i="48" s="1"/>
  <c r="E37" i="48"/>
  <c r="I37" i="48"/>
  <c r="G37" i="48"/>
  <c r="H37" i="48" s="1"/>
  <c r="E38" i="48"/>
  <c r="I38" i="48"/>
  <c r="G38" i="48"/>
  <c r="H38" i="48" s="1"/>
  <c r="E39" i="48"/>
  <c r="I39" i="48"/>
  <c r="G39" i="48"/>
  <c r="H39" i="48" s="1"/>
  <c r="E40" i="48"/>
  <c r="I40" i="48"/>
  <c r="G40" i="48"/>
  <c r="H40" i="48" s="1"/>
  <c r="E41" i="48"/>
  <c r="I41" i="48"/>
  <c r="G41" i="48"/>
  <c r="H41" i="48" s="1"/>
  <c r="E42" i="48"/>
  <c r="I42" i="48"/>
  <c r="G42" i="48"/>
  <c r="H42" i="48" s="1"/>
  <c r="E43" i="48"/>
  <c r="I43" i="48"/>
  <c r="G43" i="48"/>
  <c r="H43" i="48" s="1"/>
  <c r="R14" i="48"/>
  <c r="V14" i="48"/>
  <c r="T14" i="48"/>
  <c r="U14" i="48" s="1"/>
  <c r="R15" i="48"/>
  <c r="V15" i="48"/>
  <c r="T15" i="48"/>
  <c r="U15" i="48" s="1"/>
  <c r="R16" i="48"/>
  <c r="V16" i="48"/>
  <c r="T16" i="48"/>
  <c r="U16" i="48" s="1"/>
  <c r="R17" i="48"/>
  <c r="V17" i="48"/>
  <c r="T17" i="48"/>
  <c r="U17" i="48" s="1"/>
  <c r="R18" i="48"/>
  <c r="V18" i="48"/>
  <c r="T18" i="48"/>
  <c r="U18" i="48" s="1"/>
  <c r="R19" i="48"/>
  <c r="V19" i="48"/>
  <c r="T19" i="48"/>
  <c r="U19" i="48" s="1"/>
  <c r="R20" i="48"/>
  <c r="V20" i="48"/>
  <c r="T20" i="48"/>
  <c r="U20" i="48" s="1"/>
  <c r="R21" i="48"/>
  <c r="V21" i="48"/>
  <c r="T21" i="48"/>
  <c r="U21" i="48" s="1"/>
  <c r="R22" i="48"/>
  <c r="V22" i="48"/>
  <c r="T22" i="48"/>
  <c r="U22" i="48" s="1"/>
  <c r="R23" i="48"/>
  <c r="V23" i="48"/>
  <c r="T23" i="48"/>
  <c r="U23" i="48" s="1"/>
  <c r="R24" i="48"/>
  <c r="V24" i="48"/>
  <c r="T24" i="48"/>
  <c r="U24" i="48" s="1"/>
  <c r="R25" i="48"/>
  <c r="V25" i="48"/>
  <c r="T25" i="48"/>
  <c r="U25" i="48" s="1"/>
  <c r="R26" i="48"/>
  <c r="V26" i="48"/>
  <c r="T26" i="48"/>
  <c r="U26" i="48" s="1"/>
  <c r="R27" i="48"/>
  <c r="V27" i="48"/>
  <c r="T27" i="48"/>
  <c r="U27" i="48" s="1"/>
  <c r="R28" i="48"/>
  <c r="V28" i="48"/>
  <c r="T28" i="48"/>
  <c r="U28" i="48" s="1"/>
  <c r="R29" i="48"/>
  <c r="V29" i="48"/>
  <c r="T29" i="48"/>
  <c r="U29" i="48" s="1"/>
  <c r="R30" i="48"/>
  <c r="V30" i="48"/>
  <c r="T30" i="48"/>
  <c r="U30" i="48" s="1"/>
  <c r="R31" i="48"/>
  <c r="V31" i="48"/>
  <c r="T31" i="48"/>
  <c r="U31" i="48" s="1"/>
  <c r="R32" i="48"/>
  <c r="V32" i="48"/>
  <c r="T32" i="48"/>
  <c r="U32" i="48" s="1"/>
  <c r="R33" i="48"/>
  <c r="V33" i="48"/>
  <c r="T33" i="48"/>
  <c r="U33" i="48" s="1"/>
  <c r="R34" i="48"/>
  <c r="V34" i="48"/>
  <c r="T34" i="48"/>
  <c r="U34" i="48" s="1"/>
  <c r="R35" i="48"/>
  <c r="V35" i="48"/>
  <c r="T35" i="48"/>
  <c r="U35" i="48" s="1"/>
  <c r="R36" i="48"/>
  <c r="V36" i="48"/>
  <c r="T36" i="48"/>
  <c r="U36" i="48" s="1"/>
  <c r="R37" i="48"/>
  <c r="V37" i="48"/>
  <c r="T37" i="48"/>
  <c r="U37" i="48" s="1"/>
  <c r="E10" i="48"/>
  <c r="I10" i="48"/>
  <c r="G10" i="48"/>
  <c r="H10" i="48" s="1"/>
  <c r="E11" i="48"/>
  <c r="I11" i="48"/>
  <c r="G11" i="48"/>
  <c r="H11" i="48" s="1"/>
  <c r="E12" i="48"/>
  <c r="I12" i="48"/>
  <c r="G12" i="48"/>
  <c r="H12" i="48" s="1"/>
  <c r="E7" i="47"/>
  <c r="V96" i="48" l="1"/>
  <c r="U95" i="48"/>
  <c r="U66" i="48"/>
  <c r="U65" i="48"/>
  <c r="H74" i="48"/>
  <c r="H72" i="48"/>
  <c r="E78" i="48"/>
  <c r="E77" i="48"/>
  <c r="U64" i="48"/>
  <c r="X43" i="48"/>
  <c r="Y43" i="48"/>
  <c r="K29" i="48" l="1"/>
  <c r="K30" i="48"/>
  <c r="L30" i="48"/>
  <c r="K31" i="48"/>
  <c r="L31" i="48"/>
  <c r="K32" i="48"/>
  <c r="L32" i="48"/>
  <c r="K33" i="48"/>
  <c r="L33" i="48"/>
  <c r="K34" i="48"/>
  <c r="L34" i="48"/>
  <c r="K35" i="48"/>
  <c r="L35" i="48"/>
  <c r="K36" i="48"/>
  <c r="L36" i="48"/>
  <c r="K37" i="48"/>
  <c r="L37" i="48"/>
  <c r="K38" i="48"/>
  <c r="L38" i="48"/>
  <c r="K39" i="48"/>
  <c r="L39" i="48"/>
  <c r="K40" i="48"/>
  <c r="L40" i="48"/>
  <c r="K41" i="48"/>
  <c r="L41" i="48"/>
  <c r="K42" i="48"/>
  <c r="L42" i="48"/>
  <c r="K43" i="48"/>
  <c r="L43" i="48"/>
  <c r="K44" i="48"/>
  <c r="L44" i="48"/>
  <c r="K45" i="48"/>
  <c r="L45" i="48"/>
  <c r="K46" i="48"/>
  <c r="L46" i="48"/>
  <c r="K47" i="48"/>
  <c r="L47" i="48"/>
  <c r="K48" i="48"/>
  <c r="L48" i="48"/>
  <c r="K49" i="48"/>
  <c r="L49" i="48"/>
  <c r="K50" i="48"/>
  <c r="L50" i="48"/>
  <c r="K51" i="48"/>
  <c r="L51" i="48"/>
  <c r="K52" i="48"/>
  <c r="L52" i="48"/>
  <c r="K53" i="48"/>
  <c r="L53" i="48"/>
  <c r="K54" i="48"/>
  <c r="L54" i="48"/>
  <c r="K55" i="48"/>
  <c r="L55" i="48"/>
  <c r="K56" i="48"/>
  <c r="L56" i="48"/>
  <c r="K57" i="48"/>
  <c r="L57" i="48"/>
  <c r="K58" i="48"/>
  <c r="L58" i="48"/>
  <c r="K59" i="48"/>
  <c r="L59" i="48"/>
  <c r="K60" i="48"/>
  <c r="L60" i="48"/>
  <c r="K61" i="48"/>
  <c r="L61" i="48"/>
  <c r="K26" i="48"/>
  <c r="L26" i="48"/>
  <c r="K27" i="48"/>
  <c r="K28" i="48"/>
  <c r="L28" i="48"/>
  <c r="K25" i="48"/>
  <c r="L25" i="48"/>
  <c r="L29" i="48"/>
  <c r="K23" i="48"/>
  <c r="L23" i="48"/>
  <c r="K24" i="48"/>
  <c r="L24" i="48"/>
  <c r="K19" i="48"/>
  <c r="L19" i="48"/>
  <c r="K21" i="48"/>
  <c r="L21" i="48"/>
  <c r="K22" i="48"/>
  <c r="L22" i="48"/>
  <c r="K14" i="48"/>
  <c r="L14" i="48"/>
  <c r="K17" i="48"/>
  <c r="L17" i="48"/>
  <c r="K10" i="48"/>
  <c r="L10" i="48"/>
  <c r="K11" i="48"/>
  <c r="L11" i="48"/>
  <c r="K12" i="48"/>
  <c r="L12" i="48"/>
  <c r="E2" i="47"/>
  <c r="E3" i="47"/>
  <c r="AG14" i="48"/>
  <c r="AG15" i="48"/>
  <c r="AG16" i="48"/>
  <c r="AG17" i="48"/>
  <c r="AG18" i="48"/>
  <c r="X98" i="48"/>
  <c r="Y98" i="48"/>
  <c r="X99" i="48"/>
  <c r="Y99" i="48"/>
  <c r="X100" i="48"/>
  <c r="Y100" i="48"/>
  <c r="X101" i="48"/>
  <c r="Y101" i="48"/>
  <c r="X102" i="48"/>
  <c r="Y102" i="48"/>
  <c r="K105" i="48"/>
  <c r="L105" i="48"/>
  <c r="K106" i="48"/>
  <c r="L106" i="48"/>
  <c r="K104" i="48"/>
  <c r="L104" i="48"/>
  <c r="X97" i="48"/>
  <c r="Y97" i="48"/>
  <c r="X96" i="48"/>
  <c r="Y96" i="48"/>
  <c r="K103" i="48"/>
  <c r="L103" i="48"/>
  <c r="X93" i="48"/>
  <c r="Y93" i="48"/>
  <c r="X94" i="48"/>
  <c r="Y94" i="48"/>
  <c r="X95" i="48"/>
  <c r="Y95" i="48"/>
  <c r="K97" i="48"/>
  <c r="L97" i="48"/>
  <c r="K98" i="48"/>
  <c r="L98" i="48"/>
  <c r="K99" i="48"/>
  <c r="L99" i="48"/>
  <c r="K100" i="48"/>
  <c r="L100" i="48"/>
  <c r="K101" i="48"/>
  <c r="L101" i="48"/>
  <c r="K102" i="48"/>
  <c r="L102" i="48"/>
  <c r="X83" i="48"/>
  <c r="Y83" i="48"/>
  <c r="X84" i="48"/>
  <c r="Y84" i="48"/>
  <c r="X85" i="48"/>
  <c r="Y85" i="48"/>
  <c r="X86" i="48"/>
  <c r="Y86" i="48"/>
  <c r="X87" i="48"/>
  <c r="Y87" i="48"/>
  <c r="X88" i="48"/>
  <c r="Y88" i="48"/>
  <c r="X89" i="48"/>
  <c r="Y89" i="48"/>
  <c r="X90" i="48"/>
  <c r="Y90" i="48"/>
  <c r="X91" i="48"/>
  <c r="Y91" i="48"/>
  <c r="X92" i="48"/>
  <c r="Y92" i="48"/>
  <c r="K87" i="48"/>
  <c r="L87" i="48"/>
  <c r="K88" i="48"/>
  <c r="L88" i="48"/>
  <c r="K89" i="48"/>
  <c r="L89" i="48"/>
  <c r="K90" i="48"/>
  <c r="L90" i="48"/>
  <c r="K91" i="48"/>
  <c r="L91" i="48"/>
  <c r="K92" i="48"/>
  <c r="L92" i="48"/>
  <c r="K93" i="48"/>
  <c r="L93" i="48"/>
  <c r="K94" i="48"/>
  <c r="L94" i="48"/>
  <c r="K95" i="48"/>
  <c r="L95" i="48"/>
  <c r="K96" i="48"/>
  <c r="L96" i="48"/>
  <c r="X80" i="48"/>
  <c r="Y80" i="48"/>
  <c r="X81" i="48"/>
  <c r="Y81" i="48"/>
  <c r="X82" i="48"/>
  <c r="Y82" i="48"/>
  <c r="X70" i="48"/>
  <c r="Y70" i="48"/>
  <c r="X72" i="48"/>
  <c r="Y72" i="48"/>
  <c r="X73" i="48"/>
  <c r="Y73" i="48"/>
  <c r="X75" i="48"/>
  <c r="Y75" i="48"/>
  <c r="X76" i="48"/>
  <c r="Y76" i="48"/>
  <c r="X78" i="48"/>
  <c r="Y78" i="48"/>
  <c r="X79" i="48"/>
  <c r="Y79" i="48"/>
  <c r="K82" i="48"/>
  <c r="L82" i="48"/>
  <c r="K83" i="48"/>
  <c r="L83" i="48"/>
  <c r="K84" i="48"/>
  <c r="L84" i="48"/>
  <c r="K85" i="48"/>
  <c r="L85" i="48"/>
  <c r="K86" i="48"/>
  <c r="L86" i="48"/>
  <c r="K77" i="48"/>
  <c r="L77" i="48"/>
  <c r="K78" i="48"/>
  <c r="L78" i="48"/>
  <c r="K79" i="48"/>
  <c r="L79" i="48"/>
  <c r="K80" i="48"/>
  <c r="L80" i="48"/>
  <c r="K81" i="48"/>
  <c r="L81" i="48"/>
  <c r="X61" i="48"/>
  <c r="Y61" i="48"/>
  <c r="X62" i="48"/>
  <c r="Y62" i="48"/>
  <c r="X64" i="48"/>
  <c r="Y64" i="48"/>
  <c r="X65" i="48"/>
  <c r="Y65" i="48"/>
  <c r="X66" i="48"/>
  <c r="Y66" i="48"/>
  <c r="X67" i="48"/>
  <c r="Y67" i="48"/>
  <c r="X68" i="48"/>
  <c r="Y68" i="48"/>
  <c r="X69" i="48"/>
  <c r="Y69" i="48"/>
  <c r="K68" i="48"/>
  <c r="L68" i="48"/>
  <c r="K69" i="48"/>
  <c r="L69" i="48"/>
  <c r="K70" i="48"/>
  <c r="L70" i="48"/>
  <c r="K72" i="48"/>
  <c r="L72" i="48"/>
  <c r="K73" i="48"/>
  <c r="L73" i="48"/>
  <c r="K74" i="48"/>
  <c r="L74" i="48"/>
  <c r="K75" i="48"/>
  <c r="L75" i="48"/>
  <c r="K76" i="48"/>
  <c r="L76" i="48"/>
  <c r="X53" i="48"/>
  <c r="Y53" i="48"/>
  <c r="X54" i="48"/>
  <c r="Y54" i="48"/>
  <c r="X55" i="48"/>
  <c r="Y55" i="48"/>
  <c r="X56" i="48"/>
  <c r="Y56" i="48"/>
  <c r="X57" i="48"/>
  <c r="Y57" i="48"/>
  <c r="X58" i="48"/>
  <c r="Y58" i="48"/>
  <c r="X59" i="48"/>
  <c r="Y59" i="48"/>
  <c r="X60" i="48"/>
  <c r="Y60" i="48"/>
  <c r="K62" i="48"/>
  <c r="L62" i="48"/>
  <c r="K63" i="48"/>
  <c r="L63" i="48"/>
  <c r="K64" i="48"/>
  <c r="L64" i="48"/>
  <c r="K65" i="48"/>
  <c r="L65" i="48"/>
  <c r="K66" i="48"/>
  <c r="L66" i="48"/>
  <c r="K67" i="48"/>
  <c r="L67" i="48"/>
  <c r="X45" i="48"/>
  <c r="Y45" i="48"/>
  <c r="X46" i="48"/>
  <c r="Y46" i="48"/>
  <c r="X47" i="48"/>
  <c r="Y47" i="48"/>
  <c r="X48" i="48"/>
  <c r="Y48" i="48"/>
  <c r="X49" i="48"/>
  <c r="Y49" i="48"/>
  <c r="X50" i="48"/>
  <c r="Y50" i="48"/>
  <c r="X51" i="48"/>
  <c r="Y51" i="48"/>
  <c r="X52" i="48"/>
  <c r="Y52" i="48"/>
  <c r="X41" i="48"/>
  <c r="Y41" i="48"/>
  <c r="X42" i="48"/>
  <c r="Y42" i="48"/>
  <c r="X44" i="48"/>
  <c r="Y44" i="48"/>
  <c r="X35" i="48"/>
  <c r="Y35" i="48"/>
  <c r="X36" i="48"/>
  <c r="Y36" i="48"/>
  <c r="X37" i="48"/>
  <c r="Y37" i="48"/>
  <c r="X38" i="48"/>
  <c r="Y38" i="48"/>
  <c r="X39" i="48"/>
  <c r="Y39" i="48"/>
  <c r="X40" i="48"/>
  <c r="Y40" i="48"/>
  <c r="X25" i="48"/>
  <c r="Y25" i="48"/>
  <c r="X26" i="48"/>
  <c r="Y26" i="48"/>
  <c r="X27" i="48"/>
  <c r="Y27" i="48"/>
  <c r="X28" i="48"/>
  <c r="Y28" i="48"/>
  <c r="X29" i="48"/>
  <c r="Y29" i="48"/>
  <c r="X30" i="48"/>
  <c r="Y30" i="48"/>
  <c r="X31" i="48"/>
  <c r="Y31" i="48"/>
  <c r="X32" i="48"/>
  <c r="Y32" i="48"/>
  <c r="X33" i="48"/>
  <c r="Y33" i="48"/>
  <c r="X34" i="48"/>
  <c r="Y34" i="48"/>
  <c r="X15" i="48"/>
  <c r="Y15" i="48"/>
  <c r="X16" i="48"/>
  <c r="Y16" i="48"/>
  <c r="X17" i="48"/>
  <c r="Y17" i="48"/>
  <c r="X18" i="48"/>
  <c r="Y18" i="48"/>
  <c r="X19" i="48"/>
  <c r="Y19" i="48"/>
  <c r="X20" i="48"/>
  <c r="Y20" i="48"/>
  <c r="X21" i="48"/>
  <c r="Y21" i="48"/>
  <c r="X22" i="48"/>
  <c r="Y22" i="48"/>
  <c r="X23" i="48"/>
  <c r="Y23" i="48"/>
  <c r="X24" i="48"/>
  <c r="Y24" i="48"/>
  <c r="X7" i="48"/>
  <c r="Y7" i="48"/>
  <c r="X9" i="48"/>
  <c r="Y9" i="48"/>
  <c r="X11" i="48"/>
  <c r="Y11" i="48"/>
  <c r="X12" i="48"/>
  <c r="Y12" i="48"/>
  <c r="X13" i="48"/>
  <c r="Y13" i="48"/>
  <c r="X14" i="48"/>
  <c r="Y14" i="48"/>
  <c r="T4" i="48"/>
  <c r="U4" i="48" s="1"/>
  <c r="Y4" i="48" s="1"/>
  <c r="X4" i="48"/>
  <c r="E8" i="48"/>
  <c r="I8" i="48"/>
  <c r="K8" i="48" s="1"/>
  <c r="G8" i="48"/>
  <c r="H8" i="48" s="1"/>
  <c r="L8" i="48" s="1"/>
  <c r="E9" i="48"/>
  <c r="I9" i="48"/>
  <c r="K9" i="48" s="1"/>
  <c r="G9" i="48"/>
  <c r="H9" i="48" s="1"/>
  <c r="L9" i="48" s="1"/>
  <c r="L2" i="47"/>
  <c r="L3" i="47"/>
  <c r="L4" i="47"/>
  <c r="L5" i="47"/>
  <c r="L6" i="47"/>
  <c r="L7" i="47"/>
  <c r="L8" i="47"/>
  <c r="L9" i="47"/>
  <c r="L10" i="47"/>
  <c r="L11" i="47"/>
  <c r="L12" i="47"/>
  <c r="L13" i="47"/>
  <c r="L14" i="47"/>
  <c r="L15" i="47"/>
  <c r="L16" i="47"/>
  <c r="L17" i="47"/>
  <c r="L27" i="48" l="1"/>
  <c r="AG12" i="48" s="1"/>
  <c r="AG11" i="48"/>
  <c r="AG10" i="48"/>
  <c r="AG8" i="48"/>
  <c r="AG9" i="48"/>
  <c r="E6" i="48"/>
  <c r="E7" i="48"/>
  <c r="V5" i="48"/>
  <c r="X5" i="48" s="1"/>
  <c r="I5" i="48"/>
  <c r="K5" i="48" s="1"/>
  <c r="I6" i="48"/>
  <c r="K6" i="48" s="1"/>
  <c r="I7" i="48"/>
  <c r="K7" i="48" s="1"/>
  <c r="T5" i="48"/>
  <c r="U5" i="48" s="1"/>
  <c r="Y5" i="48" s="1"/>
  <c r="R5" i="48"/>
  <c r="G4" i="48"/>
  <c r="H4" i="48" s="1"/>
  <c r="L4" i="48" s="1"/>
  <c r="AG4" i="48" s="1"/>
  <c r="G5" i="48"/>
  <c r="H5" i="48" s="1"/>
  <c r="L5" i="48" s="1"/>
  <c r="G6" i="48"/>
  <c r="H6" i="48" s="1"/>
  <c r="L6" i="48" s="1"/>
  <c r="AG6" i="48" s="1"/>
  <c r="G7" i="48"/>
  <c r="H7" i="48" s="1"/>
  <c r="L7" i="48" s="1"/>
  <c r="AG7" i="48" s="1"/>
  <c r="K4" i="48"/>
  <c r="E5" i="48"/>
  <c r="AG13" i="48" l="1"/>
  <c r="AG5" i="48"/>
  <c r="AG20" i="48"/>
  <c r="AG21" i="48"/>
  <c r="AG22" i="48"/>
  <c r="AG23" i="48"/>
  <c r="AG24" i="48"/>
  <c r="AG25" i="48"/>
  <c r="AG26" i="48"/>
  <c r="AG27" i="48"/>
  <c r="AG19" i="48" l="1"/>
  <c r="E4" i="47"/>
  <c r="E5" i="47"/>
  <c r="E6" i="47"/>
  <c r="E8" i="47"/>
  <c r="E9" i="47"/>
  <c r="E10" i="47"/>
  <c r="E11" i="47"/>
  <c r="E12" i="47"/>
  <c r="E13" i="47"/>
  <c r="E14" i="47"/>
  <c r="E15" i="47"/>
  <c r="E16" i="47"/>
  <c r="E17" i="47"/>
  <c r="AC105" i="51" l="1"/>
  <c r="W105" i="51"/>
  <c r="X105" i="51" s="1"/>
  <c r="AB105" i="51" s="1"/>
  <c r="V105" i="51"/>
  <c r="Y105" i="51" s="1"/>
  <c r="AA105" i="51" s="1"/>
  <c r="U105" i="51"/>
  <c r="AC104" i="51"/>
  <c r="AB104" i="51"/>
  <c r="W104" i="51"/>
  <c r="X104" i="51" s="1"/>
  <c r="V104" i="51"/>
  <c r="Y104" i="51" s="1"/>
  <c r="AA104" i="51" s="1"/>
  <c r="U104" i="51"/>
  <c r="L104" i="51"/>
  <c r="K104" i="51"/>
  <c r="F104" i="51"/>
  <c r="G104" i="51" s="1"/>
  <c r="E104" i="51"/>
  <c r="H104" i="51" s="1"/>
  <c r="J104" i="51" s="1"/>
  <c r="D104" i="51"/>
  <c r="AC103" i="51"/>
  <c r="W103" i="51"/>
  <c r="X103" i="51" s="1"/>
  <c r="AB103" i="51" s="1"/>
  <c r="V103" i="51"/>
  <c r="Y103" i="51" s="1"/>
  <c r="AA103" i="51" s="1"/>
  <c r="U103" i="51"/>
  <c r="L103" i="51"/>
  <c r="F103" i="51"/>
  <c r="G103" i="51" s="1"/>
  <c r="K103" i="51" s="1"/>
  <c r="E103" i="51"/>
  <c r="H103" i="51" s="1"/>
  <c r="J103" i="51" s="1"/>
  <c r="D103" i="51"/>
  <c r="AC102" i="51"/>
  <c r="W102" i="51"/>
  <c r="X102" i="51" s="1"/>
  <c r="AB102" i="51" s="1"/>
  <c r="V102" i="51"/>
  <c r="Y102" i="51" s="1"/>
  <c r="AA102" i="51" s="1"/>
  <c r="U102" i="51"/>
  <c r="L102" i="51"/>
  <c r="K102" i="51"/>
  <c r="F102" i="51"/>
  <c r="G102" i="51" s="1"/>
  <c r="E102" i="51"/>
  <c r="H102" i="51" s="1"/>
  <c r="J102" i="51" s="1"/>
  <c r="D102" i="51"/>
  <c r="AC101" i="51"/>
  <c r="W101" i="51"/>
  <c r="X101" i="51" s="1"/>
  <c r="AB101" i="51" s="1"/>
  <c r="V101" i="51"/>
  <c r="Y101" i="51" s="1"/>
  <c r="AA101" i="51" s="1"/>
  <c r="U101" i="51"/>
  <c r="L101" i="51"/>
  <c r="F101" i="51"/>
  <c r="G101" i="51" s="1"/>
  <c r="K101" i="51" s="1"/>
  <c r="E101" i="51"/>
  <c r="H101" i="51" s="1"/>
  <c r="J101" i="51" s="1"/>
  <c r="D101" i="51"/>
  <c r="AC100" i="51"/>
  <c r="W100" i="51"/>
  <c r="X100" i="51" s="1"/>
  <c r="AB100" i="51" s="1"/>
  <c r="V100" i="51"/>
  <c r="Y100" i="51" s="1"/>
  <c r="AA100" i="51" s="1"/>
  <c r="U100" i="51"/>
  <c r="L100" i="51"/>
  <c r="F100" i="51"/>
  <c r="G100" i="51" s="1"/>
  <c r="K100" i="51" s="1"/>
  <c r="E100" i="51"/>
  <c r="H100" i="51" s="1"/>
  <c r="J100" i="51" s="1"/>
  <c r="D100" i="51"/>
  <c r="AC99" i="51"/>
  <c r="W99" i="51"/>
  <c r="X99" i="51" s="1"/>
  <c r="AB99" i="51" s="1"/>
  <c r="V99" i="51"/>
  <c r="Y99" i="51" s="1"/>
  <c r="AA99" i="51" s="1"/>
  <c r="U99" i="51"/>
  <c r="L99" i="51"/>
  <c r="K99" i="51"/>
  <c r="F99" i="51"/>
  <c r="G99" i="51" s="1"/>
  <c r="E99" i="51"/>
  <c r="H99" i="51" s="1"/>
  <c r="J99" i="51" s="1"/>
  <c r="D99" i="51"/>
  <c r="AC98" i="51"/>
  <c r="AB98" i="51"/>
  <c r="W98" i="51"/>
  <c r="X98" i="51" s="1"/>
  <c r="V98" i="51"/>
  <c r="Y98" i="51" s="1"/>
  <c r="AA98" i="51" s="1"/>
  <c r="U98" i="51"/>
  <c r="L98" i="51"/>
  <c r="K98" i="51"/>
  <c r="F98" i="51"/>
  <c r="G98" i="51" s="1"/>
  <c r="E98" i="51"/>
  <c r="H98" i="51" s="1"/>
  <c r="J98" i="51" s="1"/>
  <c r="D98" i="51"/>
  <c r="AC97" i="51"/>
  <c r="W97" i="51"/>
  <c r="X97" i="51" s="1"/>
  <c r="AB97" i="51" s="1"/>
  <c r="V97" i="51"/>
  <c r="Y97" i="51" s="1"/>
  <c r="AA97" i="51" s="1"/>
  <c r="U97" i="51"/>
  <c r="L97" i="51"/>
  <c r="F97" i="51"/>
  <c r="G97" i="51" s="1"/>
  <c r="K97" i="51" s="1"/>
  <c r="E97" i="51"/>
  <c r="H97" i="51" s="1"/>
  <c r="J97" i="51" s="1"/>
  <c r="D97" i="51"/>
  <c r="AC96" i="51"/>
  <c r="AB96" i="51"/>
  <c r="W96" i="51"/>
  <c r="X96" i="51" s="1"/>
  <c r="V96" i="51"/>
  <c r="Y96" i="51" s="1"/>
  <c r="AA96" i="51" s="1"/>
  <c r="U96" i="51"/>
  <c r="L96" i="51"/>
  <c r="F96" i="51"/>
  <c r="G96" i="51" s="1"/>
  <c r="K96" i="51" s="1"/>
  <c r="E96" i="51"/>
  <c r="H96" i="51" s="1"/>
  <c r="J96" i="51" s="1"/>
  <c r="D96" i="51"/>
  <c r="AC95" i="51"/>
  <c r="W95" i="51"/>
  <c r="X95" i="51" s="1"/>
  <c r="AB95" i="51" s="1"/>
  <c r="V95" i="51"/>
  <c r="Y95" i="51" s="1"/>
  <c r="AA95" i="51" s="1"/>
  <c r="U95" i="51"/>
  <c r="L95" i="51"/>
  <c r="K95" i="51"/>
  <c r="F95" i="51"/>
  <c r="G95" i="51" s="1"/>
  <c r="E95" i="51"/>
  <c r="H95" i="51" s="1"/>
  <c r="J95" i="51" s="1"/>
  <c r="D95" i="51"/>
  <c r="AB94" i="51"/>
  <c r="W94" i="51"/>
  <c r="X94" i="51" s="1"/>
  <c r="V94" i="51"/>
  <c r="Y94" i="51" s="1"/>
  <c r="AA94" i="51" s="1"/>
  <c r="U94" i="51"/>
  <c r="L94" i="51"/>
  <c r="F94" i="51"/>
  <c r="G94" i="51" s="1"/>
  <c r="K94" i="51" s="1"/>
  <c r="E94" i="51"/>
  <c r="H94" i="51" s="1"/>
  <c r="J94" i="51" s="1"/>
  <c r="D94" i="51"/>
  <c r="AB93" i="51"/>
  <c r="W93" i="51"/>
  <c r="X93" i="51" s="1"/>
  <c r="V93" i="51"/>
  <c r="Y93" i="51" s="1"/>
  <c r="AA93" i="51" s="1"/>
  <c r="U93" i="51"/>
  <c r="L93" i="51"/>
  <c r="K93" i="51"/>
  <c r="F93" i="51"/>
  <c r="G93" i="51" s="1"/>
  <c r="E93" i="51"/>
  <c r="H93" i="51" s="1"/>
  <c r="J93" i="51" s="1"/>
  <c r="D93" i="51"/>
  <c r="AB92" i="51"/>
  <c r="W92" i="51"/>
  <c r="X92" i="51" s="1"/>
  <c r="V92" i="51"/>
  <c r="Y92" i="51" s="1"/>
  <c r="AA92" i="51" s="1"/>
  <c r="U92" i="51"/>
  <c r="K92" i="51"/>
  <c r="F92" i="51"/>
  <c r="G92" i="51" s="1"/>
  <c r="E92" i="51"/>
  <c r="H92" i="51" s="1"/>
  <c r="J92" i="51" s="1"/>
  <c r="D92" i="51"/>
  <c r="W91" i="51"/>
  <c r="X91" i="51" s="1"/>
  <c r="AB91" i="51" s="1"/>
  <c r="V91" i="51"/>
  <c r="Y91" i="51" s="1"/>
  <c r="AA91" i="51" s="1"/>
  <c r="U91" i="51"/>
  <c r="K91" i="51"/>
  <c r="F91" i="51"/>
  <c r="G91" i="51" s="1"/>
  <c r="E91" i="51"/>
  <c r="H91" i="51" s="1"/>
  <c r="J91" i="51" s="1"/>
  <c r="D91" i="51"/>
  <c r="AB90" i="51"/>
  <c r="W90" i="51"/>
  <c r="X90" i="51" s="1"/>
  <c r="V90" i="51"/>
  <c r="Y90" i="51" s="1"/>
  <c r="AA90" i="51" s="1"/>
  <c r="U90" i="51"/>
  <c r="K90" i="51"/>
  <c r="F90" i="51"/>
  <c r="G90" i="51" s="1"/>
  <c r="E90" i="51"/>
  <c r="H90" i="51" s="1"/>
  <c r="J90" i="51" s="1"/>
  <c r="D90" i="51"/>
  <c r="W89" i="51"/>
  <c r="X89" i="51" s="1"/>
  <c r="AB89" i="51" s="1"/>
  <c r="V89" i="51"/>
  <c r="Y89" i="51" s="1"/>
  <c r="AA89" i="51" s="1"/>
  <c r="U89" i="51"/>
  <c r="K89" i="51"/>
  <c r="F89" i="51"/>
  <c r="G89" i="51" s="1"/>
  <c r="E89" i="51"/>
  <c r="H89" i="51" s="1"/>
  <c r="J89" i="51" s="1"/>
  <c r="D89" i="51"/>
  <c r="AB88" i="51"/>
  <c r="W88" i="51"/>
  <c r="X88" i="51" s="1"/>
  <c r="V88" i="51"/>
  <c r="Y88" i="51" s="1"/>
  <c r="AA88" i="51" s="1"/>
  <c r="U88" i="51"/>
  <c r="K88" i="51"/>
  <c r="F88" i="51"/>
  <c r="G88" i="51" s="1"/>
  <c r="E88" i="51"/>
  <c r="H88" i="51" s="1"/>
  <c r="J88" i="51" s="1"/>
  <c r="D88" i="51"/>
  <c r="W87" i="51"/>
  <c r="X87" i="51" s="1"/>
  <c r="AB87" i="51" s="1"/>
  <c r="V87" i="51"/>
  <c r="Y87" i="51" s="1"/>
  <c r="AA87" i="51" s="1"/>
  <c r="U87" i="51"/>
  <c r="K87" i="51"/>
  <c r="F87" i="51"/>
  <c r="G87" i="51" s="1"/>
  <c r="E87" i="51"/>
  <c r="H87" i="51" s="1"/>
  <c r="J87" i="51" s="1"/>
  <c r="D87" i="51"/>
  <c r="AB86" i="51"/>
  <c r="W86" i="51"/>
  <c r="X86" i="51" s="1"/>
  <c r="V86" i="51"/>
  <c r="Y86" i="51" s="1"/>
  <c r="AA86" i="51" s="1"/>
  <c r="U86" i="51"/>
  <c r="F86" i="51"/>
  <c r="G86" i="51" s="1"/>
  <c r="K86" i="51" s="1"/>
  <c r="E86" i="51"/>
  <c r="H86" i="51" s="1"/>
  <c r="J86" i="51" s="1"/>
  <c r="D86" i="51"/>
  <c r="W85" i="51"/>
  <c r="X85" i="51" s="1"/>
  <c r="AB85" i="51" s="1"/>
  <c r="V85" i="51"/>
  <c r="Y85" i="51" s="1"/>
  <c r="AA85" i="51" s="1"/>
  <c r="U85" i="51"/>
  <c r="K85" i="51"/>
  <c r="F85" i="51"/>
  <c r="G85" i="51" s="1"/>
  <c r="E85" i="51"/>
  <c r="H85" i="51" s="1"/>
  <c r="J85" i="51" s="1"/>
  <c r="D85" i="51"/>
  <c r="AB84" i="51"/>
  <c r="W84" i="51"/>
  <c r="X84" i="51" s="1"/>
  <c r="V84" i="51"/>
  <c r="Y84" i="51" s="1"/>
  <c r="AA84" i="51" s="1"/>
  <c r="U84" i="51"/>
  <c r="K84" i="51"/>
  <c r="F84" i="51"/>
  <c r="G84" i="51" s="1"/>
  <c r="E84" i="51"/>
  <c r="H84" i="51" s="1"/>
  <c r="J84" i="51" s="1"/>
  <c r="D84" i="51"/>
  <c r="W83" i="51"/>
  <c r="X83" i="51" s="1"/>
  <c r="AB83" i="51" s="1"/>
  <c r="V83" i="51"/>
  <c r="Y83" i="51" s="1"/>
  <c r="AA83" i="51" s="1"/>
  <c r="U83" i="51"/>
  <c r="K83" i="51"/>
  <c r="F83" i="51"/>
  <c r="G83" i="51" s="1"/>
  <c r="E83" i="51"/>
  <c r="H83" i="51" s="1"/>
  <c r="J83" i="51" s="1"/>
  <c r="D83" i="51"/>
  <c r="AB82" i="51"/>
  <c r="W82" i="51"/>
  <c r="X82" i="51" s="1"/>
  <c r="V82" i="51"/>
  <c r="Y82" i="51" s="1"/>
  <c r="AA82" i="51" s="1"/>
  <c r="U82" i="51"/>
  <c r="K82" i="51"/>
  <c r="F82" i="51"/>
  <c r="G82" i="51" s="1"/>
  <c r="E82" i="51"/>
  <c r="H82" i="51" s="1"/>
  <c r="J82" i="51" s="1"/>
  <c r="D82" i="51"/>
  <c r="W81" i="51"/>
  <c r="X81" i="51" s="1"/>
  <c r="AB81" i="51" s="1"/>
  <c r="V81" i="51"/>
  <c r="Y81" i="51" s="1"/>
  <c r="AA81" i="51" s="1"/>
  <c r="U81" i="51"/>
  <c r="K81" i="51"/>
  <c r="F81" i="51"/>
  <c r="G81" i="51" s="1"/>
  <c r="E81" i="51"/>
  <c r="H81" i="51" s="1"/>
  <c r="J81" i="51" s="1"/>
  <c r="D81" i="51"/>
  <c r="AB80" i="51"/>
  <c r="W80" i="51"/>
  <c r="X80" i="51" s="1"/>
  <c r="V80" i="51"/>
  <c r="Y80" i="51" s="1"/>
  <c r="AA80" i="51" s="1"/>
  <c r="U80" i="51"/>
  <c r="K80" i="51"/>
  <c r="F80" i="51"/>
  <c r="G80" i="51" s="1"/>
  <c r="E80" i="51"/>
  <c r="H80" i="51" s="1"/>
  <c r="J80" i="51" s="1"/>
  <c r="D80" i="51"/>
  <c r="W79" i="51"/>
  <c r="X79" i="51" s="1"/>
  <c r="AB79" i="51" s="1"/>
  <c r="V79" i="51"/>
  <c r="Y79" i="51" s="1"/>
  <c r="AA79" i="51" s="1"/>
  <c r="U79" i="51"/>
  <c r="K79" i="51"/>
  <c r="F79" i="51"/>
  <c r="G79" i="51" s="1"/>
  <c r="E79" i="51"/>
  <c r="H79" i="51" s="1"/>
  <c r="J79" i="51" s="1"/>
  <c r="D79" i="51"/>
  <c r="AB78" i="51"/>
  <c r="W78" i="51"/>
  <c r="X78" i="51" s="1"/>
  <c r="V78" i="51"/>
  <c r="Y78" i="51" s="1"/>
  <c r="AA78" i="51" s="1"/>
  <c r="U78" i="51"/>
  <c r="F78" i="51"/>
  <c r="G78" i="51" s="1"/>
  <c r="K78" i="51" s="1"/>
  <c r="E78" i="51"/>
  <c r="H78" i="51" s="1"/>
  <c r="J78" i="51" s="1"/>
  <c r="D78" i="51"/>
  <c r="W77" i="51"/>
  <c r="X77" i="51" s="1"/>
  <c r="AB77" i="51" s="1"/>
  <c r="V77" i="51"/>
  <c r="Y77" i="51" s="1"/>
  <c r="AA77" i="51" s="1"/>
  <c r="U77" i="51"/>
  <c r="K77" i="51"/>
  <c r="F77" i="51"/>
  <c r="G77" i="51" s="1"/>
  <c r="E77" i="51"/>
  <c r="H77" i="51" s="1"/>
  <c r="J77" i="51" s="1"/>
  <c r="D77" i="51"/>
  <c r="AB76" i="51"/>
  <c r="W76" i="51"/>
  <c r="X76" i="51" s="1"/>
  <c r="V76" i="51"/>
  <c r="Y76" i="51" s="1"/>
  <c r="AA76" i="51" s="1"/>
  <c r="U76" i="51"/>
  <c r="F76" i="51"/>
  <c r="G76" i="51" s="1"/>
  <c r="K76" i="51" s="1"/>
  <c r="E76" i="51"/>
  <c r="H76" i="51" s="1"/>
  <c r="J76" i="51" s="1"/>
  <c r="D76" i="51"/>
  <c r="W75" i="51"/>
  <c r="X75" i="51" s="1"/>
  <c r="AB75" i="51" s="1"/>
  <c r="V75" i="51"/>
  <c r="Y75" i="51" s="1"/>
  <c r="AA75" i="51" s="1"/>
  <c r="U75" i="51"/>
  <c r="K75" i="51"/>
  <c r="F75" i="51"/>
  <c r="G75" i="51" s="1"/>
  <c r="E75" i="51"/>
  <c r="H75" i="51" s="1"/>
  <c r="J75" i="51" s="1"/>
  <c r="D75" i="51"/>
  <c r="AB74" i="51"/>
  <c r="W74" i="51"/>
  <c r="X74" i="51" s="1"/>
  <c r="V74" i="51"/>
  <c r="Y74" i="51" s="1"/>
  <c r="AA74" i="51" s="1"/>
  <c r="U74" i="51"/>
  <c r="K74" i="51"/>
  <c r="F74" i="51"/>
  <c r="G74" i="51" s="1"/>
  <c r="E74" i="51"/>
  <c r="H74" i="51" s="1"/>
  <c r="J74" i="51" s="1"/>
  <c r="D74" i="51"/>
  <c r="W73" i="51"/>
  <c r="X73" i="51" s="1"/>
  <c r="AB73" i="51" s="1"/>
  <c r="V73" i="51"/>
  <c r="Y73" i="51" s="1"/>
  <c r="AA73" i="51" s="1"/>
  <c r="U73" i="51"/>
  <c r="F73" i="51"/>
  <c r="G73" i="51" s="1"/>
  <c r="K73" i="51" s="1"/>
  <c r="E73" i="51"/>
  <c r="H73" i="51" s="1"/>
  <c r="J73" i="51" s="1"/>
  <c r="D73" i="51"/>
  <c r="AB72" i="51"/>
  <c r="X72" i="51"/>
  <c r="W72" i="51"/>
  <c r="V72" i="51"/>
  <c r="Y72" i="51" s="1"/>
  <c r="AA72" i="51" s="1"/>
  <c r="U72" i="51"/>
  <c r="K72" i="51"/>
  <c r="G72" i="51"/>
  <c r="E72" i="51"/>
  <c r="H72" i="51" s="1"/>
  <c r="J72" i="51" s="1"/>
  <c r="D72" i="51"/>
  <c r="AB71" i="51"/>
  <c r="X71" i="51"/>
  <c r="W71" i="51"/>
  <c r="V71" i="51"/>
  <c r="Y71" i="51" s="1"/>
  <c r="AA71" i="51" s="1"/>
  <c r="U71" i="51"/>
  <c r="G71" i="51"/>
  <c r="K71" i="51" s="1"/>
  <c r="E71" i="51"/>
  <c r="H71" i="51" s="1"/>
  <c r="J71" i="51" s="1"/>
  <c r="D71" i="51"/>
  <c r="AB70" i="51"/>
  <c r="W70" i="51"/>
  <c r="X70" i="51" s="1"/>
  <c r="V70" i="51"/>
  <c r="Y70" i="51" s="1"/>
  <c r="AA70" i="51" s="1"/>
  <c r="U70" i="51"/>
  <c r="G70" i="51"/>
  <c r="K70" i="51" s="1"/>
  <c r="E70" i="51"/>
  <c r="H70" i="51" s="1"/>
  <c r="J70" i="51" s="1"/>
  <c r="D70" i="51"/>
  <c r="X69" i="51"/>
  <c r="AB69" i="51" s="1"/>
  <c r="W69" i="51"/>
  <c r="V69" i="51"/>
  <c r="Y69" i="51" s="1"/>
  <c r="AA69" i="51" s="1"/>
  <c r="U69" i="51"/>
  <c r="G69" i="51"/>
  <c r="K69" i="51" s="1"/>
  <c r="E69" i="51"/>
  <c r="H69" i="51" s="1"/>
  <c r="J69" i="51" s="1"/>
  <c r="D69" i="51"/>
  <c r="AB68" i="51"/>
  <c r="W68" i="51"/>
  <c r="X68" i="51" s="1"/>
  <c r="V68" i="51"/>
  <c r="Y68" i="51" s="1"/>
  <c r="AA68" i="51" s="1"/>
  <c r="U68" i="51"/>
  <c r="G68" i="51"/>
  <c r="K68" i="51" s="1"/>
  <c r="F68" i="51"/>
  <c r="E68" i="51"/>
  <c r="H68" i="51" s="1"/>
  <c r="J68" i="51" s="1"/>
  <c r="D68" i="51"/>
  <c r="W67" i="51"/>
  <c r="X67" i="51" s="1"/>
  <c r="AB67" i="51" s="1"/>
  <c r="V67" i="51"/>
  <c r="Y67" i="51" s="1"/>
  <c r="AA67" i="51" s="1"/>
  <c r="U67" i="51"/>
  <c r="F67" i="51"/>
  <c r="G67" i="51" s="1"/>
  <c r="K67" i="51" s="1"/>
  <c r="E67" i="51"/>
  <c r="H67" i="51" s="1"/>
  <c r="J67" i="51" s="1"/>
  <c r="D67" i="51"/>
  <c r="AB66" i="51"/>
  <c r="W66" i="51"/>
  <c r="X66" i="51" s="1"/>
  <c r="V66" i="51"/>
  <c r="Y66" i="51" s="1"/>
  <c r="AA66" i="51" s="1"/>
  <c r="U66" i="51"/>
  <c r="G66" i="51"/>
  <c r="K66" i="51" s="1"/>
  <c r="F66" i="51"/>
  <c r="E66" i="51"/>
  <c r="H66" i="51" s="1"/>
  <c r="J66" i="51" s="1"/>
  <c r="D66" i="51"/>
  <c r="W65" i="51"/>
  <c r="X65" i="51" s="1"/>
  <c r="AB65" i="51" s="1"/>
  <c r="V65" i="51"/>
  <c r="Y65" i="51" s="1"/>
  <c r="AA65" i="51" s="1"/>
  <c r="U65" i="51"/>
  <c r="F65" i="51"/>
  <c r="G65" i="51" s="1"/>
  <c r="K65" i="51" s="1"/>
  <c r="E65" i="51"/>
  <c r="H65" i="51" s="1"/>
  <c r="J65" i="51" s="1"/>
  <c r="D65" i="51"/>
  <c r="AB64" i="51"/>
  <c r="W64" i="51"/>
  <c r="X64" i="51" s="1"/>
  <c r="V64" i="51"/>
  <c r="Y64" i="51" s="1"/>
  <c r="AA64" i="51" s="1"/>
  <c r="U64" i="51"/>
  <c r="G64" i="51"/>
  <c r="K64" i="51" s="1"/>
  <c r="F64" i="51"/>
  <c r="E64" i="51"/>
  <c r="H64" i="51" s="1"/>
  <c r="J64" i="51" s="1"/>
  <c r="D64" i="51"/>
  <c r="X63" i="51"/>
  <c r="AB63" i="51" s="1"/>
  <c r="W63" i="51"/>
  <c r="V63" i="51"/>
  <c r="Y63" i="51" s="1"/>
  <c r="AA63" i="51" s="1"/>
  <c r="U63" i="51"/>
  <c r="F63" i="51"/>
  <c r="G63" i="51" s="1"/>
  <c r="K63" i="51" s="1"/>
  <c r="E63" i="51"/>
  <c r="H63" i="51" s="1"/>
  <c r="J63" i="51" s="1"/>
  <c r="D63" i="51"/>
  <c r="W62" i="51"/>
  <c r="X62" i="51" s="1"/>
  <c r="AB62" i="51" s="1"/>
  <c r="V62" i="51"/>
  <c r="Y62" i="51" s="1"/>
  <c r="AA62" i="51" s="1"/>
  <c r="U62" i="51"/>
  <c r="F62" i="51"/>
  <c r="G62" i="51" s="1"/>
  <c r="K62" i="51" s="1"/>
  <c r="E62" i="51"/>
  <c r="H62" i="51" s="1"/>
  <c r="J62" i="51" s="1"/>
  <c r="D62" i="51"/>
  <c r="W61" i="51"/>
  <c r="X61" i="51" s="1"/>
  <c r="AB61" i="51" s="1"/>
  <c r="V61" i="51"/>
  <c r="Y61" i="51" s="1"/>
  <c r="AA61" i="51" s="1"/>
  <c r="U61" i="51"/>
  <c r="F61" i="51"/>
  <c r="G61" i="51" s="1"/>
  <c r="K61" i="51" s="1"/>
  <c r="E61" i="51"/>
  <c r="H61" i="51" s="1"/>
  <c r="J61" i="51" s="1"/>
  <c r="D61" i="51"/>
  <c r="W60" i="51"/>
  <c r="X60" i="51" s="1"/>
  <c r="AB60" i="51" s="1"/>
  <c r="V60" i="51"/>
  <c r="Y60" i="51" s="1"/>
  <c r="AA60" i="51" s="1"/>
  <c r="U60" i="51"/>
  <c r="F60" i="51"/>
  <c r="G60" i="51" s="1"/>
  <c r="K60" i="51" s="1"/>
  <c r="E60" i="51"/>
  <c r="H60" i="51" s="1"/>
  <c r="J60" i="51" s="1"/>
  <c r="D60" i="51"/>
  <c r="W59" i="51"/>
  <c r="X59" i="51" s="1"/>
  <c r="AB59" i="51" s="1"/>
  <c r="V59" i="51"/>
  <c r="Y59" i="51" s="1"/>
  <c r="AA59" i="51" s="1"/>
  <c r="U59" i="51"/>
  <c r="F59" i="51"/>
  <c r="G59" i="51" s="1"/>
  <c r="K59" i="51" s="1"/>
  <c r="E59" i="51"/>
  <c r="H59" i="51" s="1"/>
  <c r="J59" i="51" s="1"/>
  <c r="D59" i="51"/>
  <c r="W58" i="51"/>
  <c r="X58" i="51" s="1"/>
  <c r="AB58" i="51" s="1"/>
  <c r="V58" i="51"/>
  <c r="Y58" i="51" s="1"/>
  <c r="AA58" i="51" s="1"/>
  <c r="U58" i="51"/>
  <c r="G58" i="51"/>
  <c r="K58" i="51" s="1"/>
  <c r="F58" i="51"/>
  <c r="E58" i="51"/>
  <c r="H58" i="51" s="1"/>
  <c r="J58" i="51" s="1"/>
  <c r="D58" i="51"/>
  <c r="AB57" i="51"/>
  <c r="X57" i="51"/>
  <c r="W57" i="51"/>
  <c r="V57" i="51"/>
  <c r="Y57" i="51" s="1"/>
  <c r="AA57" i="51" s="1"/>
  <c r="U57" i="51"/>
  <c r="K57" i="51"/>
  <c r="L69" i="51" s="1"/>
  <c r="F57" i="51"/>
  <c r="G57" i="51" s="1"/>
  <c r="E57" i="51"/>
  <c r="H57" i="51" s="1"/>
  <c r="J57" i="51" s="1"/>
  <c r="D57" i="51"/>
  <c r="AC56" i="51"/>
  <c r="W56" i="51"/>
  <c r="X56" i="51" s="1"/>
  <c r="AB56" i="51" s="1"/>
  <c r="V56" i="51"/>
  <c r="Y56" i="51" s="1"/>
  <c r="AA56" i="51" s="1"/>
  <c r="U56" i="51"/>
  <c r="G56" i="51"/>
  <c r="K56" i="51" s="1"/>
  <c r="F56" i="51"/>
  <c r="E56" i="51"/>
  <c r="H56" i="51" s="1"/>
  <c r="J56" i="51" s="1"/>
  <c r="D56" i="51"/>
  <c r="W55" i="51"/>
  <c r="X55" i="51" s="1"/>
  <c r="AB55" i="51" s="1"/>
  <c r="V55" i="51"/>
  <c r="Y55" i="51" s="1"/>
  <c r="AA55" i="51" s="1"/>
  <c r="U55" i="51"/>
  <c r="F55" i="51"/>
  <c r="G55" i="51" s="1"/>
  <c r="K55" i="51" s="1"/>
  <c r="E55" i="51"/>
  <c r="H55" i="51" s="1"/>
  <c r="J55" i="51" s="1"/>
  <c r="D55" i="51"/>
  <c r="W54" i="51"/>
  <c r="X54" i="51" s="1"/>
  <c r="AB54" i="51" s="1"/>
  <c r="V54" i="51"/>
  <c r="Y54" i="51" s="1"/>
  <c r="AA54" i="51" s="1"/>
  <c r="U54" i="51"/>
  <c r="G54" i="51"/>
  <c r="K54" i="51" s="1"/>
  <c r="F54" i="51"/>
  <c r="E54" i="51"/>
  <c r="H54" i="51" s="1"/>
  <c r="J54" i="51" s="1"/>
  <c r="D54" i="51"/>
  <c r="AB53" i="51"/>
  <c r="X53" i="51"/>
  <c r="W53" i="51"/>
  <c r="V53" i="51"/>
  <c r="Y53" i="51" s="1"/>
  <c r="AA53" i="51" s="1"/>
  <c r="U53" i="51"/>
  <c r="K53" i="51"/>
  <c r="F53" i="51"/>
  <c r="G53" i="51" s="1"/>
  <c r="E53" i="51"/>
  <c r="H53" i="51" s="1"/>
  <c r="J53" i="51" s="1"/>
  <c r="D53" i="51"/>
  <c r="W52" i="51"/>
  <c r="X52" i="51" s="1"/>
  <c r="AB52" i="51" s="1"/>
  <c r="V52" i="51"/>
  <c r="Y52" i="51" s="1"/>
  <c r="AA52" i="51" s="1"/>
  <c r="U52" i="51"/>
  <c r="G52" i="51"/>
  <c r="K52" i="51" s="1"/>
  <c r="F52" i="51"/>
  <c r="E52" i="51"/>
  <c r="H52" i="51" s="1"/>
  <c r="J52" i="51" s="1"/>
  <c r="D52" i="51"/>
  <c r="W51" i="51"/>
  <c r="X51" i="51" s="1"/>
  <c r="AB51" i="51" s="1"/>
  <c r="V51" i="51"/>
  <c r="Y51" i="51" s="1"/>
  <c r="AA51" i="51" s="1"/>
  <c r="U51" i="51"/>
  <c r="K51" i="51"/>
  <c r="F51" i="51"/>
  <c r="G51" i="51" s="1"/>
  <c r="E51" i="51"/>
  <c r="H51" i="51" s="1"/>
  <c r="J51" i="51" s="1"/>
  <c r="D51" i="51"/>
  <c r="W50" i="51"/>
  <c r="X50" i="51" s="1"/>
  <c r="AB50" i="51" s="1"/>
  <c r="V50" i="51"/>
  <c r="Y50" i="51" s="1"/>
  <c r="AA50" i="51" s="1"/>
  <c r="U50" i="51"/>
  <c r="G50" i="51"/>
  <c r="K50" i="51" s="1"/>
  <c r="F50" i="51"/>
  <c r="E50" i="51"/>
  <c r="H50" i="51" s="1"/>
  <c r="J50" i="51" s="1"/>
  <c r="D50" i="51"/>
  <c r="AB49" i="51"/>
  <c r="X49" i="51"/>
  <c r="W49" i="51"/>
  <c r="V49" i="51"/>
  <c r="Y49" i="51" s="1"/>
  <c r="AA49" i="51" s="1"/>
  <c r="U49" i="51"/>
  <c r="K49" i="51"/>
  <c r="F49" i="51"/>
  <c r="G49" i="51" s="1"/>
  <c r="E49" i="51"/>
  <c r="H49" i="51" s="1"/>
  <c r="J49" i="51" s="1"/>
  <c r="D49" i="51"/>
  <c r="W48" i="51"/>
  <c r="X48" i="51" s="1"/>
  <c r="AB48" i="51" s="1"/>
  <c r="V48" i="51"/>
  <c r="Y48" i="51" s="1"/>
  <c r="AA48" i="51" s="1"/>
  <c r="U48" i="51"/>
  <c r="G48" i="51"/>
  <c r="K48" i="51" s="1"/>
  <c r="F48" i="51"/>
  <c r="E48" i="51"/>
  <c r="H48" i="51" s="1"/>
  <c r="J48" i="51" s="1"/>
  <c r="D48" i="51"/>
  <c r="W47" i="51"/>
  <c r="X47" i="51" s="1"/>
  <c r="AB47" i="51" s="1"/>
  <c r="V47" i="51"/>
  <c r="Y47" i="51" s="1"/>
  <c r="AA47" i="51" s="1"/>
  <c r="U47" i="51"/>
  <c r="K47" i="51"/>
  <c r="F47" i="51"/>
  <c r="G47" i="51" s="1"/>
  <c r="E47" i="51"/>
  <c r="H47" i="51" s="1"/>
  <c r="J47" i="51" s="1"/>
  <c r="D47" i="51"/>
  <c r="W46" i="51"/>
  <c r="X46" i="51" s="1"/>
  <c r="AB46" i="51" s="1"/>
  <c r="V46" i="51"/>
  <c r="Y46" i="51" s="1"/>
  <c r="AA46" i="51" s="1"/>
  <c r="U46" i="51"/>
  <c r="G46" i="51"/>
  <c r="K46" i="51" s="1"/>
  <c r="F46" i="51"/>
  <c r="E46" i="51"/>
  <c r="H46" i="51" s="1"/>
  <c r="J46" i="51" s="1"/>
  <c r="D46" i="51"/>
  <c r="AB45" i="51"/>
  <c r="X45" i="51"/>
  <c r="W45" i="51"/>
  <c r="V45" i="51"/>
  <c r="Y45" i="51" s="1"/>
  <c r="AA45" i="51" s="1"/>
  <c r="U45" i="51"/>
  <c r="K45" i="51"/>
  <c r="F45" i="51"/>
  <c r="G45" i="51" s="1"/>
  <c r="E45" i="51"/>
  <c r="H45" i="51" s="1"/>
  <c r="J45" i="51" s="1"/>
  <c r="D45" i="51"/>
  <c r="W44" i="51"/>
  <c r="X44" i="51" s="1"/>
  <c r="AB44" i="51" s="1"/>
  <c r="V44" i="51"/>
  <c r="Y44" i="51" s="1"/>
  <c r="AA44" i="51" s="1"/>
  <c r="U44" i="51"/>
  <c r="G44" i="51"/>
  <c r="K44" i="51" s="1"/>
  <c r="F44" i="51"/>
  <c r="E44" i="51"/>
  <c r="H44" i="51" s="1"/>
  <c r="J44" i="51" s="1"/>
  <c r="D44" i="51"/>
  <c r="W43" i="51"/>
  <c r="X43" i="51" s="1"/>
  <c r="AB43" i="51" s="1"/>
  <c r="V43" i="51"/>
  <c r="Y43" i="51" s="1"/>
  <c r="AA43" i="51" s="1"/>
  <c r="U43" i="51"/>
  <c r="K43" i="51"/>
  <c r="F43" i="51"/>
  <c r="G43" i="51" s="1"/>
  <c r="E43" i="51"/>
  <c r="H43" i="51" s="1"/>
  <c r="J43" i="51" s="1"/>
  <c r="D43" i="51"/>
  <c r="W42" i="51"/>
  <c r="X42" i="51" s="1"/>
  <c r="AB42" i="51" s="1"/>
  <c r="V42" i="51"/>
  <c r="Y42" i="51" s="1"/>
  <c r="AA42" i="51" s="1"/>
  <c r="U42" i="51"/>
  <c r="G42" i="51"/>
  <c r="K42" i="51" s="1"/>
  <c r="F42" i="51"/>
  <c r="E42" i="51"/>
  <c r="H42" i="51" s="1"/>
  <c r="J42" i="51" s="1"/>
  <c r="D42" i="51"/>
  <c r="AB41" i="51"/>
  <c r="W41" i="51"/>
  <c r="X41" i="51" s="1"/>
  <c r="V41" i="51"/>
  <c r="Y41" i="51" s="1"/>
  <c r="AA41" i="51" s="1"/>
  <c r="U41" i="51"/>
  <c r="K41" i="51"/>
  <c r="F41" i="51"/>
  <c r="G41" i="51" s="1"/>
  <c r="E41" i="51"/>
  <c r="H41" i="51" s="1"/>
  <c r="J41" i="51" s="1"/>
  <c r="D41" i="51"/>
  <c r="W40" i="51"/>
  <c r="X40" i="51" s="1"/>
  <c r="AB40" i="51" s="1"/>
  <c r="V40" i="51"/>
  <c r="Y40" i="51" s="1"/>
  <c r="AA40" i="51" s="1"/>
  <c r="U40" i="51"/>
  <c r="G40" i="51"/>
  <c r="K40" i="51" s="1"/>
  <c r="F40" i="51"/>
  <c r="E40" i="51"/>
  <c r="H40" i="51" s="1"/>
  <c r="J40" i="51" s="1"/>
  <c r="D40" i="51"/>
  <c r="W39" i="51"/>
  <c r="X39" i="51" s="1"/>
  <c r="AB39" i="51" s="1"/>
  <c r="V39" i="51"/>
  <c r="Y39" i="51" s="1"/>
  <c r="AA39" i="51" s="1"/>
  <c r="U39" i="51"/>
  <c r="K39" i="51"/>
  <c r="F39" i="51"/>
  <c r="G39" i="51" s="1"/>
  <c r="E39" i="51"/>
  <c r="H39" i="51" s="1"/>
  <c r="J39" i="51" s="1"/>
  <c r="D39" i="51"/>
  <c r="W38" i="51"/>
  <c r="X38" i="51" s="1"/>
  <c r="AB38" i="51" s="1"/>
  <c r="V38" i="51"/>
  <c r="Y38" i="51" s="1"/>
  <c r="AA38" i="51" s="1"/>
  <c r="U38" i="51"/>
  <c r="G38" i="51"/>
  <c r="K38" i="51" s="1"/>
  <c r="F38" i="51"/>
  <c r="E38" i="51"/>
  <c r="H38" i="51" s="1"/>
  <c r="J38" i="51" s="1"/>
  <c r="D38" i="51"/>
  <c r="AB37" i="51"/>
  <c r="W37" i="51"/>
  <c r="X37" i="51" s="1"/>
  <c r="V37" i="51"/>
  <c r="Y37" i="51" s="1"/>
  <c r="AA37" i="51" s="1"/>
  <c r="U37" i="51"/>
  <c r="K37" i="51"/>
  <c r="F37" i="51"/>
  <c r="G37" i="51" s="1"/>
  <c r="E37" i="51"/>
  <c r="H37" i="51" s="1"/>
  <c r="J37" i="51" s="1"/>
  <c r="D37" i="51"/>
  <c r="W36" i="51"/>
  <c r="X36" i="51" s="1"/>
  <c r="AB36" i="51" s="1"/>
  <c r="V36" i="51"/>
  <c r="Y36" i="51" s="1"/>
  <c r="AA36" i="51" s="1"/>
  <c r="U36" i="51"/>
  <c r="G36" i="51"/>
  <c r="K36" i="51" s="1"/>
  <c r="F36" i="51"/>
  <c r="E36" i="51"/>
  <c r="H36" i="51" s="1"/>
  <c r="J36" i="51" s="1"/>
  <c r="D36" i="51"/>
  <c r="W35" i="51"/>
  <c r="X35" i="51" s="1"/>
  <c r="AB35" i="51" s="1"/>
  <c r="V35" i="51"/>
  <c r="Y35" i="51" s="1"/>
  <c r="AA35" i="51" s="1"/>
  <c r="U35" i="51"/>
  <c r="K35" i="51"/>
  <c r="F35" i="51"/>
  <c r="G35" i="51" s="1"/>
  <c r="E35" i="51"/>
  <c r="H35" i="51" s="1"/>
  <c r="J35" i="51" s="1"/>
  <c r="D35" i="51"/>
  <c r="X34" i="51"/>
  <c r="AB34" i="51" s="1"/>
  <c r="W34" i="51"/>
  <c r="V34" i="51"/>
  <c r="Y34" i="51" s="1"/>
  <c r="AA34" i="51" s="1"/>
  <c r="U34" i="51"/>
  <c r="F34" i="51"/>
  <c r="G34" i="51" s="1"/>
  <c r="K34" i="51" s="1"/>
  <c r="E34" i="51"/>
  <c r="H34" i="51" s="1"/>
  <c r="J34" i="51" s="1"/>
  <c r="D34" i="51"/>
  <c r="X33" i="51"/>
  <c r="AB33" i="51" s="1"/>
  <c r="W33" i="51"/>
  <c r="V33" i="51"/>
  <c r="Y33" i="51" s="1"/>
  <c r="AA33" i="51" s="1"/>
  <c r="U33" i="51"/>
  <c r="G33" i="51"/>
  <c r="K33" i="51" s="1"/>
  <c r="F33" i="51"/>
  <c r="E33" i="51"/>
  <c r="H33" i="51" s="1"/>
  <c r="J33" i="51" s="1"/>
  <c r="D33" i="51"/>
  <c r="X32" i="51"/>
  <c r="AB32" i="51" s="1"/>
  <c r="AC32" i="51" s="1"/>
  <c r="W32" i="51"/>
  <c r="V32" i="51"/>
  <c r="Y32" i="51" s="1"/>
  <c r="AA32" i="51" s="1"/>
  <c r="U32" i="51"/>
  <c r="F32" i="51"/>
  <c r="G32" i="51" s="1"/>
  <c r="K32" i="51" s="1"/>
  <c r="E32" i="51"/>
  <c r="H32" i="51" s="1"/>
  <c r="J32" i="51" s="1"/>
  <c r="D32" i="51"/>
  <c r="X31" i="51"/>
  <c r="AB31" i="51" s="1"/>
  <c r="W31" i="51"/>
  <c r="V31" i="51"/>
  <c r="Y31" i="51" s="1"/>
  <c r="AA31" i="51" s="1"/>
  <c r="U31" i="51"/>
  <c r="G31" i="51"/>
  <c r="K31" i="51" s="1"/>
  <c r="F31" i="51"/>
  <c r="E31" i="51"/>
  <c r="H31" i="51" s="1"/>
  <c r="J31" i="51" s="1"/>
  <c r="D31" i="51"/>
  <c r="X30" i="51"/>
  <c r="AB30" i="51" s="1"/>
  <c r="W30" i="51"/>
  <c r="V30" i="51"/>
  <c r="Y30" i="51" s="1"/>
  <c r="AA30" i="51" s="1"/>
  <c r="U30" i="51"/>
  <c r="F30" i="51"/>
  <c r="G30" i="51" s="1"/>
  <c r="K30" i="51" s="1"/>
  <c r="E30" i="51"/>
  <c r="H30" i="51" s="1"/>
  <c r="J30" i="51" s="1"/>
  <c r="D30" i="51"/>
  <c r="X29" i="51"/>
  <c r="AB29" i="51" s="1"/>
  <c r="W29" i="51"/>
  <c r="V29" i="51"/>
  <c r="Y29" i="51" s="1"/>
  <c r="AA29" i="51" s="1"/>
  <c r="U29" i="51"/>
  <c r="G29" i="51"/>
  <c r="K29" i="51" s="1"/>
  <c r="F29" i="51"/>
  <c r="E29" i="51"/>
  <c r="H29" i="51" s="1"/>
  <c r="J29" i="51" s="1"/>
  <c r="D29" i="51"/>
  <c r="X28" i="51"/>
  <c r="AB28" i="51" s="1"/>
  <c r="W28" i="51"/>
  <c r="V28" i="51"/>
  <c r="Y28" i="51" s="1"/>
  <c r="AA28" i="51" s="1"/>
  <c r="U28" i="51"/>
  <c r="F28" i="51"/>
  <c r="G28" i="51" s="1"/>
  <c r="K28" i="51" s="1"/>
  <c r="E28" i="51"/>
  <c r="H28" i="51" s="1"/>
  <c r="J28" i="51" s="1"/>
  <c r="D28" i="51"/>
  <c r="W27" i="51"/>
  <c r="X27" i="51" s="1"/>
  <c r="AB27" i="51" s="1"/>
  <c r="V27" i="51"/>
  <c r="Y27" i="51" s="1"/>
  <c r="AA27" i="51" s="1"/>
  <c r="U27" i="51"/>
  <c r="F27" i="51"/>
  <c r="G27" i="51" s="1"/>
  <c r="K27" i="51" s="1"/>
  <c r="E27" i="51"/>
  <c r="H27" i="51" s="1"/>
  <c r="J27" i="51" s="1"/>
  <c r="D27" i="51"/>
  <c r="W26" i="51"/>
  <c r="X26" i="51" s="1"/>
  <c r="AB26" i="51" s="1"/>
  <c r="V26" i="51"/>
  <c r="Y26" i="51" s="1"/>
  <c r="AA26" i="51" s="1"/>
  <c r="U26" i="51"/>
  <c r="G26" i="51"/>
  <c r="K26" i="51" s="1"/>
  <c r="F26" i="51"/>
  <c r="E26" i="51"/>
  <c r="H26" i="51" s="1"/>
  <c r="J26" i="51" s="1"/>
  <c r="D26" i="51"/>
  <c r="AB25" i="51"/>
  <c r="W25" i="51"/>
  <c r="X25" i="51" s="1"/>
  <c r="V25" i="51"/>
  <c r="Y25" i="51" s="1"/>
  <c r="AA25" i="51" s="1"/>
  <c r="U25" i="51"/>
  <c r="F25" i="51"/>
  <c r="G25" i="51" s="1"/>
  <c r="K25" i="51" s="1"/>
  <c r="E25" i="51"/>
  <c r="H25" i="51" s="1"/>
  <c r="J25" i="51" s="1"/>
  <c r="D25" i="51"/>
  <c r="X24" i="51"/>
  <c r="AB24" i="51" s="1"/>
  <c r="W24" i="51"/>
  <c r="V24" i="51"/>
  <c r="Y24" i="51" s="1"/>
  <c r="AA24" i="51" s="1"/>
  <c r="U24" i="51"/>
  <c r="F24" i="51"/>
  <c r="G24" i="51" s="1"/>
  <c r="K24" i="51" s="1"/>
  <c r="E24" i="51"/>
  <c r="H24" i="51" s="1"/>
  <c r="J24" i="51" s="1"/>
  <c r="D24" i="51"/>
  <c r="AB23" i="51"/>
  <c r="W23" i="51"/>
  <c r="X23" i="51" s="1"/>
  <c r="V23" i="51"/>
  <c r="Y23" i="51" s="1"/>
  <c r="AA23" i="51" s="1"/>
  <c r="U23" i="51"/>
  <c r="K23" i="51"/>
  <c r="F23" i="51"/>
  <c r="G23" i="51" s="1"/>
  <c r="E23" i="51"/>
  <c r="H23" i="51" s="1"/>
  <c r="J23" i="51" s="1"/>
  <c r="D23" i="51"/>
  <c r="X22" i="51"/>
  <c r="AB22" i="51" s="1"/>
  <c r="W22" i="51"/>
  <c r="V22" i="51"/>
  <c r="Y22" i="51" s="1"/>
  <c r="AA22" i="51" s="1"/>
  <c r="U22" i="51"/>
  <c r="G22" i="51"/>
  <c r="K22" i="51" s="1"/>
  <c r="F22" i="51"/>
  <c r="E22" i="51"/>
  <c r="H22" i="51" s="1"/>
  <c r="J22" i="51" s="1"/>
  <c r="D22" i="51"/>
  <c r="W21" i="51"/>
  <c r="X21" i="51" s="1"/>
  <c r="AB21" i="51" s="1"/>
  <c r="V21" i="51"/>
  <c r="Y21" i="51" s="1"/>
  <c r="AA21" i="51" s="1"/>
  <c r="U21" i="51"/>
  <c r="F21" i="51"/>
  <c r="G21" i="51" s="1"/>
  <c r="K21" i="51" s="1"/>
  <c r="E21" i="51"/>
  <c r="H21" i="51" s="1"/>
  <c r="J21" i="51" s="1"/>
  <c r="D21" i="51"/>
  <c r="X20" i="51"/>
  <c r="AB20" i="51" s="1"/>
  <c r="W20" i="51"/>
  <c r="V20" i="51"/>
  <c r="Y20" i="51" s="1"/>
  <c r="AA20" i="51" s="1"/>
  <c r="U20" i="51"/>
  <c r="F20" i="51"/>
  <c r="G20" i="51" s="1"/>
  <c r="K20" i="51" s="1"/>
  <c r="E20" i="51"/>
  <c r="H20" i="51" s="1"/>
  <c r="J20" i="51" s="1"/>
  <c r="D20" i="51"/>
  <c r="W19" i="51"/>
  <c r="X19" i="51" s="1"/>
  <c r="AB19" i="51" s="1"/>
  <c r="V19" i="51"/>
  <c r="Y19" i="51" s="1"/>
  <c r="AA19" i="51" s="1"/>
  <c r="U19" i="51"/>
  <c r="F19" i="51"/>
  <c r="G19" i="51" s="1"/>
  <c r="K19" i="51" s="1"/>
  <c r="E19" i="51"/>
  <c r="H19" i="51" s="1"/>
  <c r="J19" i="51" s="1"/>
  <c r="D19" i="51"/>
  <c r="W18" i="51"/>
  <c r="X18" i="51" s="1"/>
  <c r="AB18" i="51" s="1"/>
  <c r="V18" i="51"/>
  <c r="Y18" i="51" s="1"/>
  <c r="AA18" i="51" s="1"/>
  <c r="U18" i="51"/>
  <c r="G18" i="51"/>
  <c r="K18" i="51" s="1"/>
  <c r="F18" i="51"/>
  <c r="E18" i="51"/>
  <c r="H18" i="51" s="1"/>
  <c r="J18" i="51" s="1"/>
  <c r="D18" i="51"/>
  <c r="W17" i="51"/>
  <c r="X17" i="51" s="1"/>
  <c r="AB17" i="51" s="1"/>
  <c r="V17" i="51"/>
  <c r="Y17" i="51" s="1"/>
  <c r="AA17" i="51" s="1"/>
  <c r="U17" i="51"/>
  <c r="K17" i="51"/>
  <c r="F17" i="51"/>
  <c r="G17" i="51" s="1"/>
  <c r="E17" i="51"/>
  <c r="H17" i="51" s="1"/>
  <c r="J17" i="51" s="1"/>
  <c r="D17" i="51"/>
  <c r="X16" i="51"/>
  <c r="AB16" i="51" s="1"/>
  <c r="W16" i="51"/>
  <c r="V16" i="51"/>
  <c r="Y16" i="51" s="1"/>
  <c r="AA16" i="51" s="1"/>
  <c r="U16" i="51"/>
  <c r="F16" i="51"/>
  <c r="G16" i="51" s="1"/>
  <c r="K16" i="51" s="1"/>
  <c r="E16" i="51"/>
  <c r="H16" i="51" s="1"/>
  <c r="J16" i="51" s="1"/>
  <c r="D16" i="51"/>
  <c r="AB15" i="51"/>
  <c r="W15" i="51"/>
  <c r="X15" i="51" s="1"/>
  <c r="V15" i="51"/>
  <c r="Y15" i="51" s="1"/>
  <c r="AA15" i="51" s="1"/>
  <c r="U15" i="51"/>
  <c r="F15" i="51"/>
  <c r="G15" i="51" s="1"/>
  <c r="K15" i="51" s="1"/>
  <c r="E15" i="51"/>
  <c r="H15" i="51" s="1"/>
  <c r="J15" i="51" s="1"/>
  <c r="D15" i="51"/>
  <c r="W14" i="51"/>
  <c r="X14" i="51" s="1"/>
  <c r="AB14" i="51" s="1"/>
  <c r="V14" i="51"/>
  <c r="Y14" i="51" s="1"/>
  <c r="AA14" i="51" s="1"/>
  <c r="U14" i="51"/>
  <c r="G14" i="51"/>
  <c r="K14" i="51" s="1"/>
  <c r="F14" i="51"/>
  <c r="E14" i="51"/>
  <c r="H14" i="51" s="1"/>
  <c r="J14" i="51" s="1"/>
  <c r="D14" i="51"/>
  <c r="W13" i="51"/>
  <c r="X13" i="51" s="1"/>
  <c r="AB13" i="51" s="1"/>
  <c r="V13" i="51"/>
  <c r="Y13" i="51" s="1"/>
  <c r="AA13" i="51" s="1"/>
  <c r="U13" i="51"/>
  <c r="F13" i="51"/>
  <c r="G13" i="51" s="1"/>
  <c r="K13" i="51" s="1"/>
  <c r="E13" i="51"/>
  <c r="H13" i="51" s="1"/>
  <c r="J13" i="51" s="1"/>
  <c r="D13" i="51"/>
  <c r="X12" i="51"/>
  <c r="AB12" i="51" s="1"/>
  <c r="W12" i="51"/>
  <c r="V12" i="51"/>
  <c r="Y12" i="51" s="1"/>
  <c r="AA12" i="51" s="1"/>
  <c r="U12" i="51"/>
  <c r="F12" i="51"/>
  <c r="G12" i="51" s="1"/>
  <c r="K12" i="51" s="1"/>
  <c r="E12" i="51"/>
  <c r="H12" i="51" s="1"/>
  <c r="J12" i="51" s="1"/>
  <c r="D12" i="51"/>
  <c r="X11" i="51"/>
  <c r="AB11" i="51" s="1"/>
  <c r="W11" i="51"/>
  <c r="V11" i="51"/>
  <c r="Y11" i="51" s="1"/>
  <c r="AA11" i="51" s="1"/>
  <c r="U11" i="51"/>
  <c r="F11" i="51"/>
  <c r="G11" i="51" s="1"/>
  <c r="K11" i="51" s="1"/>
  <c r="E11" i="51"/>
  <c r="H11" i="51" s="1"/>
  <c r="J11" i="51" s="1"/>
  <c r="D11" i="51"/>
  <c r="W10" i="51"/>
  <c r="X10" i="51" s="1"/>
  <c r="AB10" i="51" s="1"/>
  <c r="V10" i="51"/>
  <c r="Y10" i="51" s="1"/>
  <c r="AA10" i="51" s="1"/>
  <c r="U10" i="51"/>
  <c r="F10" i="51"/>
  <c r="G10" i="51" s="1"/>
  <c r="K10" i="51" s="1"/>
  <c r="E10" i="51"/>
  <c r="H10" i="51" s="1"/>
  <c r="J10" i="51" s="1"/>
  <c r="D10" i="51"/>
  <c r="W9" i="51"/>
  <c r="X9" i="51" s="1"/>
  <c r="AB9" i="51" s="1"/>
  <c r="V9" i="51"/>
  <c r="Y9" i="51" s="1"/>
  <c r="AA9" i="51" s="1"/>
  <c r="U9" i="51"/>
  <c r="F9" i="51"/>
  <c r="G9" i="51" s="1"/>
  <c r="K9" i="51" s="1"/>
  <c r="E9" i="51"/>
  <c r="H9" i="51" s="1"/>
  <c r="J9" i="51" s="1"/>
  <c r="D9" i="51"/>
  <c r="W8" i="51"/>
  <c r="X8" i="51" s="1"/>
  <c r="AB8" i="51" s="1"/>
  <c r="V8" i="51"/>
  <c r="Y8" i="51" s="1"/>
  <c r="AA8" i="51" s="1"/>
  <c r="U8" i="51"/>
  <c r="F8" i="51"/>
  <c r="G8" i="51" s="1"/>
  <c r="K8" i="51" s="1"/>
  <c r="E8" i="51"/>
  <c r="H8" i="51" s="1"/>
  <c r="J8" i="51" s="1"/>
  <c r="D8" i="51"/>
  <c r="W7" i="51"/>
  <c r="X7" i="51" s="1"/>
  <c r="AB7" i="51" s="1"/>
  <c r="V7" i="51"/>
  <c r="Y7" i="51" s="1"/>
  <c r="AA7" i="51" s="1"/>
  <c r="U7" i="51"/>
  <c r="F7" i="51"/>
  <c r="G7" i="51" s="1"/>
  <c r="K7" i="51" s="1"/>
  <c r="E7" i="51"/>
  <c r="H7" i="51" s="1"/>
  <c r="J7" i="51" s="1"/>
  <c r="D7" i="51"/>
  <c r="W6" i="51"/>
  <c r="X6" i="51" s="1"/>
  <c r="AB6" i="51" s="1"/>
  <c r="V6" i="51"/>
  <c r="Y6" i="51" s="1"/>
  <c r="AA6" i="51" s="1"/>
  <c r="U6" i="51"/>
  <c r="G6" i="51"/>
  <c r="K6" i="51" s="1"/>
  <c r="F6" i="51"/>
  <c r="E6" i="51"/>
  <c r="H6" i="51" s="1"/>
  <c r="J6" i="51" s="1"/>
  <c r="D6" i="51"/>
  <c r="W5" i="51"/>
  <c r="X5" i="51" s="1"/>
  <c r="AB5" i="51" s="1"/>
  <c r="V5" i="51"/>
  <c r="Y5" i="51" s="1"/>
  <c r="AA5" i="51" s="1"/>
  <c r="U5" i="51"/>
  <c r="G5" i="51"/>
  <c r="K5" i="51" s="1"/>
  <c r="F5" i="51"/>
  <c r="E5" i="51"/>
  <c r="H5" i="51" s="1"/>
  <c r="J5" i="51" s="1"/>
  <c r="D5" i="51"/>
  <c r="AA4" i="51"/>
  <c r="W4" i="51"/>
  <c r="X4" i="51" s="1"/>
  <c r="AB4" i="51" s="1"/>
  <c r="U4" i="51"/>
  <c r="J4" i="51"/>
  <c r="F4" i="51"/>
  <c r="G4" i="51" s="1"/>
  <c r="K4" i="51" s="1"/>
  <c r="L68" i="51" l="1"/>
  <c r="L92" i="51"/>
  <c r="L78" i="51"/>
  <c r="L50" i="51"/>
  <c r="L20" i="51"/>
  <c r="L10" i="51"/>
  <c r="L70" i="51"/>
  <c r="L82" i="51"/>
  <c r="L59" i="51"/>
  <c r="L41" i="51"/>
  <c r="L30" i="51"/>
  <c r="L15" i="51"/>
  <c r="L7" i="51"/>
  <c r="L81" i="51"/>
  <c r="L55" i="51"/>
  <c r="L6" i="51"/>
  <c r="L28" i="51"/>
  <c r="L14" i="51"/>
  <c r="AC53" i="51"/>
  <c r="AC37" i="51"/>
  <c r="AC28" i="51"/>
  <c r="AC13" i="51"/>
  <c r="AC83" i="51"/>
  <c r="AC60" i="51"/>
  <c r="AC69" i="51"/>
  <c r="AC42" i="51"/>
  <c r="AC33" i="51"/>
  <c r="AC21" i="51"/>
  <c r="AC93" i="51"/>
  <c r="AC82" i="51"/>
  <c r="AC68" i="51"/>
  <c r="AC45" i="51"/>
  <c r="AC20" i="51"/>
  <c r="AC8" i="51"/>
  <c r="L90" i="51"/>
  <c r="L76" i="51"/>
  <c r="L25" i="51"/>
  <c r="L49" i="51"/>
  <c r="L37" i="51"/>
  <c r="L67" i="51"/>
  <c r="L91" i="51"/>
  <c r="L77" i="51"/>
  <c r="L13" i="51"/>
  <c r="L53" i="51"/>
  <c r="L5" i="51"/>
  <c r="L26" i="51"/>
  <c r="AC92" i="51"/>
  <c r="AC80" i="51"/>
  <c r="AC66" i="51"/>
  <c r="AC44" i="51"/>
  <c r="AC7" i="51"/>
  <c r="AC18" i="51"/>
  <c r="AC88" i="51"/>
  <c r="AC74" i="51"/>
  <c r="AC48" i="51"/>
  <c r="AC10" i="51"/>
  <c r="AC24" i="51"/>
  <c r="L79" i="51"/>
  <c r="L54" i="51"/>
  <c r="L38" i="51"/>
  <c r="L27" i="51"/>
  <c r="L85" i="51"/>
  <c r="L58" i="51"/>
  <c r="L40" i="51"/>
  <c r="L31" i="51"/>
  <c r="L16" i="51"/>
  <c r="L8" i="51"/>
  <c r="AC70" i="51"/>
  <c r="AC94" i="51"/>
  <c r="AC84" i="51"/>
  <c r="AC22" i="51"/>
  <c r="AC46" i="51"/>
  <c r="AC9" i="51"/>
  <c r="AC81" i="51"/>
  <c r="AC67" i="51"/>
  <c r="AC58" i="51"/>
  <c r="AC31" i="51"/>
  <c r="AC40" i="51"/>
  <c r="AC17" i="51"/>
  <c r="AC89" i="51"/>
  <c r="AC75" i="51"/>
  <c r="AC63" i="51"/>
  <c r="AC11" i="51"/>
  <c r="AC52" i="51"/>
  <c r="AC26" i="51"/>
  <c r="L89" i="51"/>
  <c r="L75" i="51"/>
  <c r="L52" i="51"/>
  <c r="L24" i="51"/>
  <c r="L4" i="51"/>
  <c r="L12" i="51"/>
  <c r="AC91" i="51"/>
  <c r="AC78" i="51"/>
  <c r="AC51" i="51"/>
  <c r="AC27" i="51"/>
  <c r="AC4" i="51"/>
  <c r="AC36" i="51"/>
  <c r="AC12" i="51"/>
  <c r="AC55" i="51"/>
  <c r="AC14" i="51"/>
  <c r="AC5" i="51"/>
  <c r="AC29" i="51"/>
  <c r="AC38" i="51"/>
  <c r="AC85" i="51"/>
  <c r="AC61" i="51"/>
  <c r="AC43" i="51"/>
  <c r="AC6" i="51"/>
  <c r="AC16" i="51"/>
  <c r="AC71" i="51"/>
  <c r="L64" i="51"/>
  <c r="L46" i="51"/>
  <c r="L19" i="51"/>
  <c r="L34" i="51"/>
  <c r="L62" i="51"/>
  <c r="L44" i="51"/>
  <c r="L33" i="51"/>
  <c r="L18" i="51"/>
  <c r="L9" i="51"/>
  <c r="L87" i="51"/>
  <c r="L73" i="51"/>
  <c r="L51" i="51"/>
  <c r="L11" i="51"/>
  <c r="L22" i="51"/>
  <c r="AC39" i="51"/>
  <c r="AC57" i="51"/>
  <c r="AC15" i="51"/>
  <c r="AC59" i="51"/>
  <c r="AC19" i="51"/>
  <c r="AC41" i="51"/>
  <c r="L42" i="51"/>
  <c r="L60" i="51"/>
  <c r="L17" i="51"/>
  <c r="AC30" i="51"/>
  <c r="L86" i="51"/>
  <c r="L72" i="51"/>
  <c r="L63" i="51"/>
  <c r="L45" i="51"/>
  <c r="L32" i="51"/>
  <c r="AC87" i="51"/>
  <c r="AC73" i="51"/>
  <c r="AC62" i="51"/>
  <c r="AC50" i="51"/>
  <c r="L66" i="51"/>
  <c r="L48" i="51"/>
  <c r="L36" i="51"/>
  <c r="AC86" i="51"/>
  <c r="AC72" i="51"/>
  <c r="AC47" i="51"/>
  <c r="AC23" i="51"/>
  <c r="AC90" i="51"/>
  <c r="AC76" i="51"/>
  <c r="AC35" i="51"/>
  <c r="AC25" i="51"/>
  <c r="AC49" i="51"/>
  <c r="AC34" i="51"/>
  <c r="AC77" i="51"/>
  <c r="AC64" i="51"/>
  <c r="AC54" i="51"/>
  <c r="L80" i="51"/>
  <c r="L57" i="51"/>
  <c r="L23" i="51"/>
  <c r="L83" i="51"/>
  <c r="L56" i="51"/>
  <c r="L29" i="51"/>
  <c r="L39" i="51"/>
  <c r="L88" i="51"/>
  <c r="L74" i="51"/>
  <c r="L65" i="51"/>
  <c r="L21" i="51"/>
  <c r="L47" i="51"/>
  <c r="L35" i="51"/>
  <c r="AC79" i="51"/>
  <c r="AC65" i="51"/>
  <c r="L84" i="51"/>
  <c r="L43" i="51"/>
  <c r="L61" i="51"/>
  <c r="L71" i="51"/>
  <c r="U95" i="46"/>
  <c r="V95" i="46"/>
  <c r="Y95" i="46" s="1"/>
  <c r="AA95" i="46" s="1"/>
  <c r="W95" i="46"/>
  <c r="X95" i="46" s="1"/>
  <c r="AB95" i="46" s="1"/>
  <c r="U94" i="46"/>
  <c r="V94" i="46"/>
  <c r="Y94" i="46" s="1"/>
  <c r="AA94" i="46" s="1"/>
  <c r="W94" i="46"/>
  <c r="X94" i="46" s="1"/>
  <c r="AB94" i="46" s="1"/>
  <c r="U93" i="46"/>
  <c r="V93" i="46"/>
  <c r="Y93" i="46" s="1"/>
  <c r="AA93" i="46" s="1"/>
  <c r="W93" i="46"/>
  <c r="X93" i="46" s="1"/>
  <c r="AB93" i="46" s="1"/>
  <c r="U92" i="46"/>
  <c r="V92" i="46"/>
  <c r="Y92" i="46" s="1"/>
  <c r="AA92" i="46" s="1"/>
  <c r="W92" i="46"/>
  <c r="X92" i="46" s="1"/>
  <c r="AB92" i="46" s="1"/>
  <c r="D87" i="46"/>
  <c r="E87" i="46"/>
  <c r="H87" i="46" s="1"/>
  <c r="J87" i="46" s="1"/>
  <c r="F87" i="46"/>
  <c r="G87" i="46" s="1"/>
  <c r="K87" i="46" s="1"/>
  <c r="D88" i="46"/>
  <c r="E88" i="46"/>
  <c r="H88" i="46" s="1"/>
  <c r="J88" i="46" s="1"/>
  <c r="F88" i="46"/>
  <c r="G88" i="46" s="1"/>
  <c r="K88" i="46" s="1"/>
  <c r="D89" i="46"/>
  <c r="E89" i="46"/>
  <c r="H89" i="46" s="1"/>
  <c r="J89" i="46" s="1"/>
  <c r="F89" i="46"/>
  <c r="G89" i="46" s="1"/>
  <c r="K89" i="46" s="1"/>
  <c r="D90" i="46"/>
  <c r="E90" i="46"/>
  <c r="H90" i="46" s="1"/>
  <c r="J90" i="46" s="1"/>
  <c r="F90" i="46"/>
  <c r="G90" i="46" s="1"/>
  <c r="K90" i="46" s="1"/>
  <c r="D91" i="46"/>
  <c r="E91" i="46"/>
  <c r="H91" i="46" s="1"/>
  <c r="J91" i="46" s="1"/>
  <c r="F91" i="46"/>
  <c r="G91" i="46" s="1"/>
  <c r="K91" i="46" s="1"/>
  <c r="D92" i="46"/>
  <c r="E92" i="46"/>
  <c r="H92" i="46" s="1"/>
  <c r="J92" i="46" s="1"/>
  <c r="F92" i="46"/>
  <c r="G92" i="46" s="1"/>
  <c r="K92" i="46" s="1"/>
  <c r="D93" i="46"/>
  <c r="E93" i="46"/>
  <c r="H93" i="46" s="1"/>
  <c r="J93" i="46" s="1"/>
  <c r="F93" i="46"/>
  <c r="G93" i="46" s="1"/>
  <c r="K93" i="46" s="1"/>
  <c r="D94" i="46"/>
  <c r="E94" i="46"/>
  <c r="H94" i="46" s="1"/>
  <c r="J94" i="46" s="1"/>
  <c r="F94" i="46"/>
  <c r="G94" i="46" s="1"/>
  <c r="K94" i="46" s="1"/>
  <c r="D95" i="46"/>
  <c r="E95" i="46"/>
  <c r="H95" i="46" s="1"/>
  <c r="J95" i="46" s="1"/>
  <c r="F95" i="46"/>
  <c r="G95" i="46" s="1"/>
  <c r="K95" i="46" s="1"/>
  <c r="D96" i="46"/>
  <c r="E96" i="46"/>
  <c r="H96" i="46" s="1"/>
  <c r="J96" i="46" s="1"/>
  <c r="F96" i="46"/>
  <c r="G96" i="46" s="1"/>
  <c r="K96" i="46" s="1"/>
  <c r="D97" i="46"/>
  <c r="E97" i="46"/>
  <c r="H97" i="46" s="1"/>
  <c r="J97" i="46" s="1"/>
  <c r="F97" i="46"/>
  <c r="G97" i="46" s="1"/>
  <c r="K97" i="46" s="1"/>
  <c r="D98" i="46"/>
  <c r="E98" i="46"/>
  <c r="H98" i="46" s="1"/>
  <c r="J98" i="46" s="1"/>
  <c r="F98" i="46"/>
  <c r="G98" i="46" s="1"/>
  <c r="K98" i="46" s="1"/>
  <c r="U91" i="46"/>
  <c r="V91" i="46"/>
  <c r="Y91" i="46" s="1"/>
  <c r="AA91" i="46" s="1"/>
  <c r="W91" i="46"/>
  <c r="X91" i="46" s="1"/>
  <c r="AB91" i="46" s="1"/>
  <c r="U89" i="46"/>
  <c r="V89" i="46"/>
  <c r="Y89" i="46" s="1"/>
  <c r="AA89" i="46" s="1"/>
  <c r="W89" i="46"/>
  <c r="X89" i="46" s="1"/>
  <c r="AB89" i="46" s="1"/>
  <c r="U90" i="46"/>
  <c r="V90" i="46"/>
  <c r="Y90" i="46" s="1"/>
  <c r="AA90" i="46" s="1"/>
  <c r="W90" i="46"/>
  <c r="X90" i="46" s="1"/>
  <c r="AB90" i="46" s="1"/>
  <c r="U80" i="46"/>
  <c r="V80" i="46"/>
  <c r="Y80" i="46" s="1"/>
  <c r="AA80" i="46" s="1"/>
  <c r="W80" i="46"/>
  <c r="X80" i="46" s="1"/>
  <c r="AB80" i="46" s="1"/>
  <c r="U81" i="46"/>
  <c r="V81" i="46"/>
  <c r="Y81" i="46" s="1"/>
  <c r="AA81" i="46" s="1"/>
  <c r="W81" i="46"/>
  <c r="X81" i="46" s="1"/>
  <c r="AB81" i="46" s="1"/>
  <c r="U82" i="46"/>
  <c r="V82" i="46"/>
  <c r="Y82" i="46" s="1"/>
  <c r="AA82" i="46" s="1"/>
  <c r="W82" i="46"/>
  <c r="X82" i="46" s="1"/>
  <c r="AB82" i="46" s="1"/>
  <c r="U83" i="46"/>
  <c r="V83" i="46"/>
  <c r="Y83" i="46" s="1"/>
  <c r="AA83" i="46" s="1"/>
  <c r="W83" i="46"/>
  <c r="X83" i="46" s="1"/>
  <c r="AB83" i="46" s="1"/>
  <c r="U84" i="46"/>
  <c r="V84" i="46"/>
  <c r="Y84" i="46" s="1"/>
  <c r="AA84" i="46" s="1"/>
  <c r="W84" i="46"/>
  <c r="X84" i="46" s="1"/>
  <c r="AB84" i="46" s="1"/>
  <c r="U85" i="46"/>
  <c r="V85" i="46"/>
  <c r="Y85" i="46" s="1"/>
  <c r="AA85" i="46" s="1"/>
  <c r="W85" i="46"/>
  <c r="X85" i="46" s="1"/>
  <c r="AB85" i="46" s="1"/>
  <c r="U86" i="46"/>
  <c r="V86" i="46"/>
  <c r="Y86" i="46" s="1"/>
  <c r="AA86" i="46" s="1"/>
  <c r="W86" i="46"/>
  <c r="X86" i="46" s="1"/>
  <c r="AB86" i="46" s="1"/>
  <c r="U87" i="46"/>
  <c r="V87" i="46"/>
  <c r="Y87" i="46" s="1"/>
  <c r="AA87" i="46" s="1"/>
  <c r="W87" i="46"/>
  <c r="X87" i="46" s="1"/>
  <c r="AB87" i="46" s="1"/>
  <c r="U88" i="46"/>
  <c r="V88" i="46"/>
  <c r="Y88" i="46" s="1"/>
  <c r="AA88" i="46" s="1"/>
  <c r="W88" i="46"/>
  <c r="X88" i="46" s="1"/>
  <c r="AB88" i="46" s="1"/>
  <c r="D75" i="46"/>
  <c r="E75" i="46"/>
  <c r="H75" i="46" s="1"/>
  <c r="J75" i="46" s="1"/>
  <c r="F75" i="46"/>
  <c r="G75" i="46" s="1"/>
  <c r="K75" i="46" s="1"/>
  <c r="D76" i="46"/>
  <c r="E76" i="46"/>
  <c r="H76" i="46" s="1"/>
  <c r="J76" i="46" s="1"/>
  <c r="F76" i="46"/>
  <c r="G76" i="46" s="1"/>
  <c r="K76" i="46" s="1"/>
  <c r="D77" i="46"/>
  <c r="E77" i="46"/>
  <c r="H77" i="46" s="1"/>
  <c r="J77" i="46" s="1"/>
  <c r="F77" i="46"/>
  <c r="G77" i="46" s="1"/>
  <c r="K77" i="46" s="1"/>
  <c r="D78" i="46"/>
  <c r="E78" i="46"/>
  <c r="H78" i="46" s="1"/>
  <c r="J78" i="46" s="1"/>
  <c r="F78" i="46"/>
  <c r="G78" i="46" s="1"/>
  <c r="K78" i="46" s="1"/>
  <c r="D79" i="46"/>
  <c r="E79" i="46"/>
  <c r="H79" i="46" s="1"/>
  <c r="J79" i="46" s="1"/>
  <c r="F79" i="46"/>
  <c r="G79" i="46" s="1"/>
  <c r="K79" i="46" s="1"/>
  <c r="D80" i="46"/>
  <c r="E80" i="46"/>
  <c r="H80" i="46" s="1"/>
  <c r="J80" i="46" s="1"/>
  <c r="F80" i="46"/>
  <c r="G80" i="46" s="1"/>
  <c r="K80" i="46" s="1"/>
  <c r="D81" i="46"/>
  <c r="E81" i="46"/>
  <c r="H81" i="46" s="1"/>
  <c r="J81" i="46" s="1"/>
  <c r="F81" i="46"/>
  <c r="G81" i="46" s="1"/>
  <c r="K81" i="46" s="1"/>
  <c r="D82" i="46"/>
  <c r="E82" i="46"/>
  <c r="H82" i="46" s="1"/>
  <c r="J82" i="46" s="1"/>
  <c r="F82" i="46"/>
  <c r="G82" i="46" s="1"/>
  <c r="K82" i="46" s="1"/>
  <c r="D83" i="46"/>
  <c r="E83" i="46"/>
  <c r="H83" i="46" s="1"/>
  <c r="J83" i="46" s="1"/>
  <c r="F83" i="46"/>
  <c r="G83" i="46" s="1"/>
  <c r="K83" i="46" s="1"/>
  <c r="D84" i="46"/>
  <c r="E84" i="46"/>
  <c r="H84" i="46" s="1"/>
  <c r="J84" i="46" s="1"/>
  <c r="F84" i="46"/>
  <c r="G84" i="46" s="1"/>
  <c r="K84" i="46" s="1"/>
  <c r="D85" i="46"/>
  <c r="E85" i="46"/>
  <c r="H85" i="46" s="1"/>
  <c r="J85" i="46" s="1"/>
  <c r="F85" i="46"/>
  <c r="G85" i="46" s="1"/>
  <c r="K85" i="46" s="1"/>
  <c r="D86" i="46"/>
  <c r="E86" i="46"/>
  <c r="H86" i="46" s="1"/>
  <c r="J86" i="46" s="1"/>
  <c r="F86" i="46"/>
  <c r="G86" i="46" s="1"/>
  <c r="K86" i="46" s="1"/>
  <c r="D72" i="46"/>
  <c r="E72" i="46"/>
  <c r="H72" i="46" s="1"/>
  <c r="J72" i="46" s="1"/>
  <c r="F72" i="46"/>
  <c r="G72" i="46" s="1"/>
  <c r="K72" i="46" s="1"/>
  <c r="D73" i="46"/>
  <c r="E73" i="46"/>
  <c r="H73" i="46" s="1"/>
  <c r="J73" i="46" s="1"/>
  <c r="F73" i="46"/>
  <c r="G73" i="46" s="1"/>
  <c r="K73" i="46" s="1"/>
  <c r="D74" i="46"/>
  <c r="E74" i="46"/>
  <c r="H74" i="46" s="1"/>
  <c r="J74" i="46" s="1"/>
  <c r="F74" i="46"/>
  <c r="G74" i="46" s="1"/>
  <c r="K74" i="46" s="1"/>
  <c r="U75" i="46"/>
  <c r="V75" i="46"/>
  <c r="Y75" i="46" s="1"/>
  <c r="AA75" i="46" s="1"/>
  <c r="W75" i="46"/>
  <c r="X75" i="46" s="1"/>
  <c r="AB75" i="46" s="1"/>
  <c r="U76" i="46"/>
  <c r="V76" i="46"/>
  <c r="Y76" i="46" s="1"/>
  <c r="W76" i="46"/>
  <c r="X76" i="46" s="1"/>
  <c r="AB76" i="46" s="1"/>
  <c r="U77" i="46"/>
  <c r="V77" i="46"/>
  <c r="Y77" i="46" s="1"/>
  <c r="W77" i="46"/>
  <c r="X77" i="46" s="1"/>
  <c r="U78" i="46"/>
  <c r="V78" i="46"/>
  <c r="Y78" i="46" s="1"/>
  <c r="W78" i="46"/>
  <c r="X78" i="46" s="1"/>
  <c r="U79" i="46"/>
  <c r="V79" i="46"/>
  <c r="Y79" i="46" s="1"/>
  <c r="W79" i="46"/>
  <c r="X79" i="46" s="1"/>
  <c r="U74" i="46"/>
  <c r="V74" i="46"/>
  <c r="Y74" i="46" s="1"/>
  <c r="AA74" i="46" s="1"/>
  <c r="W74" i="46"/>
  <c r="X74" i="46" s="1"/>
  <c r="AB74" i="46" s="1"/>
  <c r="U71" i="46"/>
  <c r="V71" i="46"/>
  <c r="Y71" i="46" s="1"/>
  <c r="AA71" i="46" s="1"/>
  <c r="W71" i="46"/>
  <c r="X71" i="46" s="1"/>
  <c r="AB71" i="46" s="1"/>
  <c r="U72" i="46"/>
  <c r="V72" i="46"/>
  <c r="Y72" i="46" s="1"/>
  <c r="W72" i="46"/>
  <c r="X72" i="46" s="1"/>
  <c r="U73" i="46"/>
  <c r="V73" i="46"/>
  <c r="Y73" i="46" s="1"/>
  <c r="W73" i="46"/>
  <c r="X73" i="46" s="1"/>
  <c r="AB73" i="46" s="1"/>
  <c r="U69" i="46"/>
  <c r="V69" i="46"/>
  <c r="W69" i="46"/>
  <c r="X69" i="46" s="1"/>
  <c r="AB69" i="46" s="1"/>
  <c r="U70" i="46"/>
  <c r="V70" i="46"/>
  <c r="Y70" i="46" s="1"/>
  <c r="W70" i="46"/>
  <c r="X70" i="46" s="1"/>
  <c r="AB70" i="46" s="1"/>
  <c r="U68" i="46"/>
  <c r="V68" i="46"/>
  <c r="Y68" i="46" s="1"/>
  <c r="U66" i="46"/>
  <c r="V66" i="46"/>
  <c r="Y66" i="46" s="1"/>
  <c r="U67" i="46"/>
  <c r="V67" i="46"/>
  <c r="Y67" i="46" s="1"/>
  <c r="W66" i="46"/>
  <c r="X66" i="46" s="1"/>
  <c r="AB66" i="46" s="1"/>
  <c r="W68" i="46"/>
  <c r="X68" i="46" s="1"/>
  <c r="W67" i="46"/>
  <c r="X67" i="46" s="1"/>
  <c r="AB67" i="46" s="1"/>
  <c r="X65" i="46"/>
  <c r="AB65" i="46" s="1"/>
  <c r="D62" i="46"/>
  <c r="E62" i="46"/>
  <c r="H62" i="46" s="1"/>
  <c r="J62" i="46" s="1"/>
  <c r="F62" i="46"/>
  <c r="G62" i="46" s="1"/>
  <c r="K62" i="46" s="1"/>
  <c r="D63" i="46"/>
  <c r="E63" i="46"/>
  <c r="H63" i="46" s="1"/>
  <c r="J63" i="46" s="1"/>
  <c r="F63" i="46"/>
  <c r="G63" i="46" s="1"/>
  <c r="K63" i="46" s="1"/>
  <c r="D64" i="46"/>
  <c r="E64" i="46"/>
  <c r="H64" i="46" s="1"/>
  <c r="J64" i="46" s="1"/>
  <c r="F64" i="46"/>
  <c r="G64" i="46" s="1"/>
  <c r="K64" i="46" s="1"/>
  <c r="D65" i="46"/>
  <c r="E65" i="46"/>
  <c r="H65" i="46" s="1"/>
  <c r="J65" i="46" s="1"/>
  <c r="F65" i="46"/>
  <c r="G65" i="46" s="1"/>
  <c r="K65" i="46" s="1"/>
  <c r="D66" i="46"/>
  <c r="E66" i="46"/>
  <c r="H66" i="46" s="1"/>
  <c r="J66" i="46" s="1"/>
  <c r="F66" i="46"/>
  <c r="G66" i="46" s="1"/>
  <c r="K66" i="46" s="1"/>
  <c r="D67" i="46"/>
  <c r="E67" i="46"/>
  <c r="H67" i="46" s="1"/>
  <c r="J67" i="46" s="1"/>
  <c r="F67" i="46"/>
  <c r="G67" i="46" s="1"/>
  <c r="K67" i="46" s="1"/>
  <c r="D68" i="46"/>
  <c r="E68" i="46"/>
  <c r="H68" i="46" s="1"/>
  <c r="J68" i="46" s="1"/>
  <c r="F68" i="46"/>
  <c r="G68" i="46" s="1"/>
  <c r="K68" i="46" s="1"/>
  <c r="D69" i="46"/>
  <c r="E69" i="46"/>
  <c r="H69" i="46" s="1"/>
  <c r="J69" i="46" s="1"/>
  <c r="F69" i="46"/>
  <c r="G69" i="46" s="1"/>
  <c r="K69" i="46" s="1"/>
  <c r="D70" i="46"/>
  <c r="E70" i="46"/>
  <c r="H70" i="46" s="1"/>
  <c r="J70" i="46" s="1"/>
  <c r="F70" i="46"/>
  <c r="G70" i="46" s="1"/>
  <c r="K70" i="46" s="1"/>
  <c r="D71" i="46"/>
  <c r="E71" i="46"/>
  <c r="H71" i="46" s="1"/>
  <c r="J71" i="46" s="1"/>
  <c r="F71" i="46"/>
  <c r="G71" i="46" s="1"/>
  <c r="K71" i="46" s="1"/>
  <c r="U60" i="46"/>
  <c r="V60" i="46"/>
  <c r="W60" i="46"/>
  <c r="X60" i="46" s="1"/>
  <c r="AB60" i="46" s="1"/>
  <c r="U61" i="46"/>
  <c r="V61" i="46"/>
  <c r="Y61" i="46" s="1"/>
  <c r="W61" i="46"/>
  <c r="X61" i="46" s="1"/>
  <c r="AB61" i="46" s="1"/>
  <c r="U62" i="46"/>
  <c r="V62" i="46"/>
  <c r="W62" i="46"/>
  <c r="X62" i="46" s="1"/>
  <c r="AB62" i="46" s="1"/>
  <c r="U63" i="46"/>
  <c r="V63" i="46"/>
  <c r="Y63" i="46" s="1"/>
  <c r="W63" i="46"/>
  <c r="X63" i="46" s="1"/>
  <c r="AB63" i="46" s="1"/>
  <c r="U64" i="46"/>
  <c r="V64" i="46"/>
  <c r="X64" i="46"/>
  <c r="AB64" i="46" s="1"/>
  <c r="U65" i="46"/>
  <c r="V65" i="46"/>
  <c r="Y65" i="46" s="1"/>
  <c r="AA65" i="46" s="1"/>
  <c r="U56" i="46"/>
  <c r="V56" i="46"/>
  <c r="Y56" i="46" s="1"/>
  <c r="W56" i="46"/>
  <c r="X56" i="46" s="1"/>
  <c r="AB56" i="46" s="1"/>
  <c r="W57" i="46"/>
  <c r="V58" i="46"/>
  <c r="W58" i="46"/>
  <c r="X58" i="46" s="1"/>
  <c r="AB58" i="46" s="1"/>
  <c r="U59" i="46"/>
  <c r="V59" i="46"/>
  <c r="Y59" i="46" s="1"/>
  <c r="W59" i="46"/>
  <c r="X59" i="46" s="1"/>
  <c r="AB59" i="46" s="1"/>
  <c r="D47" i="46"/>
  <c r="E47" i="46"/>
  <c r="H47" i="46" s="1"/>
  <c r="F47" i="46"/>
  <c r="G47" i="46" s="1"/>
  <c r="D48" i="46"/>
  <c r="E48" i="46"/>
  <c r="H48" i="46" s="1"/>
  <c r="F48" i="46"/>
  <c r="G48" i="46" s="1"/>
  <c r="D49" i="46"/>
  <c r="E49" i="46"/>
  <c r="H49" i="46" s="1"/>
  <c r="F49" i="46"/>
  <c r="G49" i="46" s="1"/>
  <c r="D50" i="46"/>
  <c r="E50" i="46"/>
  <c r="H50" i="46" s="1"/>
  <c r="F50" i="46"/>
  <c r="G50" i="46" s="1"/>
  <c r="D51" i="46"/>
  <c r="E51" i="46"/>
  <c r="H51" i="46" s="1"/>
  <c r="F51" i="46"/>
  <c r="G51" i="46" s="1"/>
  <c r="D52" i="46"/>
  <c r="E52" i="46"/>
  <c r="H52" i="46" s="1"/>
  <c r="J52" i="46" s="1"/>
  <c r="F52" i="46"/>
  <c r="G52" i="46" s="1"/>
  <c r="K52" i="46" s="1"/>
  <c r="D53" i="46"/>
  <c r="E53" i="46"/>
  <c r="H53" i="46" s="1"/>
  <c r="J53" i="46" s="1"/>
  <c r="F53" i="46"/>
  <c r="G53" i="46" s="1"/>
  <c r="K53" i="46" s="1"/>
  <c r="D54" i="46"/>
  <c r="E54" i="46"/>
  <c r="H54" i="46" s="1"/>
  <c r="J54" i="46" s="1"/>
  <c r="F54" i="46"/>
  <c r="G54" i="46" s="1"/>
  <c r="K54" i="46" s="1"/>
  <c r="D55" i="46"/>
  <c r="E55" i="46"/>
  <c r="H55" i="46" s="1"/>
  <c r="J55" i="46" s="1"/>
  <c r="F55" i="46"/>
  <c r="G55" i="46" s="1"/>
  <c r="K55" i="46" s="1"/>
  <c r="D56" i="46"/>
  <c r="E56" i="46"/>
  <c r="H56" i="46" s="1"/>
  <c r="J56" i="46" s="1"/>
  <c r="F56" i="46"/>
  <c r="G56" i="46" s="1"/>
  <c r="K56" i="46" s="1"/>
  <c r="D57" i="46"/>
  <c r="E57" i="46"/>
  <c r="H57" i="46" s="1"/>
  <c r="J57" i="46" s="1"/>
  <c r="F57" i="46"/>
  <c r="G57" i="46" s="1"/>
  <c r="K57" i="46" s="1"/>
  <c r="D58" i="46"/>
  <c r="E58" i="46"/>
  <c r="H58" i="46" s="1"/>
  <c r="J58" i="46" s="1"/>
  <c r="F58" i="46"/>
  <c r="G58" i="46" s="1"/>
  <c r="K58" i="46" s="1"/>
  <c r="D59" i="46"/>
  <c r="E59" i="46"/>
  <c r="H59" i="46" s="1"/>
  <c r="J59" i="46" s="1"/>
  <c r="F59" i="46"/>
  <c r="G59" i="46" s="1"/>
  <c r="K59" i="46" s="1"/>
  <c r="D60" i="46"/>
  <c r="E60" i="46"/>
  <c r="H60" i="46" s="1"/>
  <c r="J60" i="46" s="1"/>
  <c r="F60" i="46"/>
  <c r="G60" i="46" s="1"/>
  <c r="K60" i="46" s="1"/>
  <c r="D61" i="46"/>
  <c r="E61" i="46"/>
  <c r="H61" i="46" s="1"/>
  <c r="J61" i="46" s="1"/>
  <c r="F61" i="46"/>
  <c r="G61" i="46" s="1"/>
  <c r="K61" i="46" s="1"/>
  <c r="U51" i="46"/>
  <c r="V51" i="46"/>
  <c r="Y51" i="46" s="1"/>
  <c r="W51" i="46"/>
  <c r="X51" i="46" s="1"/>
  <c r="U52" i="46"/>
  <c r="V52" i="46"/>
  <c r="Y52" i="46" s="1"/>
  <c r="W52" i="46"/>
  <c r="X52" i="46" s="1"/>
  <c r="U53" i="46"/>
  <c r="V53" i="46"/>
  <c r="Y53" i="46" s="1"/>
  <c r="W53" i="46"/>
  <c r="X53" i="46" s="1"/>
  <c r="U54" i="46"/>
  <c r="V54" i="46"/>
  <c r="Y54" i="46" s="1"/>
  <c r="AA54" i="46" s="1"/>
  <c r="W54" i="46"/>
  <c r="X54" i="46" s="1"/>
  <c r="AB54" i="46" s="1"/>
  <c r="U55" i="46"/>
  <c r="V55" i="46"/>
  <c r="Y55" i="46" s="1"/>
  <c r="AA55" i="46" s="1"/>
  <c r="W55" i="46"/>
  <c r="X55" i="46" s="1"/>
  <c r="AB55" i="46" s="1"/>
  <c r="U49" i="46"/>
  <c r="V49" i="46"/>
  <c r="Y49" i="46" s="1"/>
  <c r="AA49" i="46" s="1"/>
  <c r="W49" i="46"/>
  <c r="X49" i="46" s="1"/>
  <c r="AB49" i="46" s="1"/>
  <c r="U50" i="46"/>
  <c r="V50" i="46"/>
  <c r="Y50" i="46" s="1"/>
  <c r="AA50" i="46" s="1"/>
  <c r="W50" i="46"/>
  <c r="X50" i="46" s="1"/>
  <c r="AB50" i="46" s="1"/>
  <c r="U44" i="46"/>
  <c r="V44" i="46"/>
  <c r="Y44" i="46" s="1"/>
  <c r="AA44" i="46" s="1"/>
  <c r="W44" i="46"/>
  <c r="X44" i="46" s="1"/>
  <c r="AB44" i="46" s="1"/>
  <c r="U45" i="46"/>
  <c r="V45" i="46"/>
  <c r="Y45" i="46" s="1"/>
  <c r="W45" i="46"/>
  <c r="X45" i="46" s="1"/>
  <c r="U46" i="46"/>
  <c r="V46" i="46"/>
  <c r="Y46" i="46" s="1"/>
  <c r="W46" i="46"/>
  <c r="X46" i="46" s="1"/>
  <c r="U47" i="46"/>
  <c r="V47" i="46"/>
  <c r="Y47" i="46" s="1"/>
  <c r="W47" i="46"/>
  <c r="X47" i="46" s="1"/>
  <c r="U48" i="46"/>
  <c r="V48" i="46"/>
  <c r="Y48" i="46" s="1"/>
  <c r="W48" i="46"/>
  <c r="X48" i="46" s="1"/>
  <c r="U43" i="46"/>
  <c r="V43" i="46"/>
  <c r="Y43" i="46" s="1"/>
  <c r="AA43" i="46" s="1"/>
  <c r="W43" i="46"/>
  <c r="X43" i="46" s="1"/>
  <c r="AB43" i="46" s="1"/>
  <c r="U42" i="46"/>
  <c r="V42" i="46"/>
  <c r="Y42" i="46" s="1"/>
  <c r="AA42" i="46" s="1"/>
  <c r="W42" i="46"/>
  <c r="X42" i="46" s="1"/>
  <c r="AB42" i="46" s="1"/>
  <c r="U41" i="46"/>
  <c r="V41" i="46"/>
  <c r="Y41" i="46" s="1"/>
  <c r="AA41" i="46" s="1"/>
  <c r="W41" i="46"/>
  <c r="X41" i="46" s="1"/>
  <c r="AB41" i="46" s="1"/>
  <c r="AC41" i="46" s="1"/>
  <c r="M103" i="51" l="1"/>
  <c r="N103" i="51" s="1"/>
  <c r="M101" i="51"/>
  <c r="N101" i="51" s="1"/>
  <c r="M69" i="51"/>
  <c r="N69" i="51" s="1"/>
  <c r="M91" i="51"/>
  <c r="N91" i="51" s="1"/>
  <c r="M89" i="51"/>
  <c r="N89" i="51" s="1"/>
  <c r="M87" i="51"/>
  <c r="N87" i="51" s="1"/>
  <c r="M85" i="51"/>
  <c r="N85" i="51" s="1"/>
  <c r="M83" i="51"/>
  <c r="N83" i="51" s="1"/>
  <c r="M97" i="51"/>
  <c r="N97" i="51" s="1"/>
  <c r="M73" i="51"/>
  <c r="N73" i="51" s="1"/>
  <c r="M67" i="51"/>
  <c r="N67" i="51" s="1"/>
  <c r="M94" i="51"/>
  <c r="N94" i="51" s="1"/>
  <c r="M104" i="51"/>
  <c r="N104" i="51" s="1"/>
  <c r="M98" i="51"/>
  <c r="N98" i="51" s="1"/>
  <c r="M70" i="51"/>
  <c r="N70" i="51" s="1"/>
  <c r="M92" i="51"/>
  <c r="N92" i="51" s="1"/>
  <c r="M90" i="51"/>
  <c r="N90" i="51" s="1"/>
  <c r="M88" i="51"/>
  <c r="N88" i="51" s="1"/>
  <c r="M86" i="51"/>
  <c r="N86" i="51" s="1"/>
  <c r="M102" i="51"/>
  <c r="N102" i="51" s="1"/>
  <c r="M74" i="51"/>
  <c r="N74" i="51" s="1"/>
  <c r="M33" i="51"/>
  <c r="N33" i="51" s="1"/>
  <c r="M31" i="51"/>
  <c r="N31" i="51" s="1"/>
  <c r="M29" i="51"/>
  <c r="N29" i="51" s="1"/>
  <c r="M24" i="51"/>
  <c r="N24" i="51" s="1"/>
  <c r="M16" i="51"/>
  <c r="N16" i="51" s="1"/>
  <c r="M99" i="51"/>
  <c r="N99" i="51" s="1"/>
  <c r="M76" i="51"/>
  <c r="N76" i="51" s="1"/>
  <c r="M59" i="51"/>
  <c r="N59" i="51" s="1"/>
  <c r="M55" i="51"/>
  <c r="N55" i="51" s="1"/>
  <c r="M51" i="51"/>
  <c r="N51" i="51" s="1"/>
  <c r="M47" i="51"/>
  <c r="N47" i="51" s="1"/>
  <c r="M43" i="51"/>
  <c r="N43" i="51" s="1"/>
  <c r="M39" i="51"/>
  <c r="N39" i="51" s="1"/>
  <c r="M35" i="51"/>
  <c r="N35" i="51" s="1"/>
  <c r="M27" i="51"/>
  <c r="N27" i="51" s="1"/>
  <c r="M19" i="51"/>
  <c r="N19" i="51" s="1"/>
  <c r="M78" i="51"/>
  <c r="N78" i="51" s="1"/>
  <c r="M62" i="51"/>
  <c r="N62" i="51" s="1"/>
  <c r="M22" i="51"/>
  <c r="N22" i="51" s="1"/>
  <c r="M80" i="51"/>
  <c r="N80" i="51" s="1"/>
  <c r="M68" i="51"/>
  <c r="N68" i="51" s="1"/>
  <c r="M66" i="51"/>
  <c r="N66" i="51" s="1"/>
  <c r="M63" i="51"/>
  <c r="N63" i="51" s="1"/>
  <c r="M58" i="51"/>
  <c r="N58" i="51" s="1"/>
  <c r="M54" i="51"/>
  <c r="N54" i="51" s="1"/>
  <c r="M50" i="51"/>
  <c r="N50" i="51" s="1"/>
  <c r="M46" i="51"/>
  <c r="N46" i="51" s="1"/>
  <c r="M42" i="51"/>
  <c r="N42" i="51" s="1"/>
  <c r="M96" i="51"/>
  <c r="N96" i="51" s="1"/>
  <c r="M82" i="51"/>
  <c r="N82" i="51" s="1"/>
  <c r="M75" i="51"/>
  <c r="N75" i="51" s="1"/>
  <c r="M34" i="51"/>
  <c r="N34" i="51" s="1"/>
  <c r="M32" i="51"/>
  <c r="N32" i="51" s="1"/>
  <c r="M30" i="51"/>
  <c r="N30" i="51" s="1"/>
  <c r="M28" i="51"/>
  <c r="N28" i="51" s="1"/>
  <c r="M20" i="51"/>
  <c r="N20" i="51" s="1"/>
  <c r="M12" i="51"/>
  <c r="N12" i="51" s="1"/>
  <c r="M100" i="51"/>
  <c r="N100" i="51" s="1"/>
  <c r="M84" i="51"/>
  <c r="N84" i="51" s="1"/>
  <c r="M79" i="51"/>
  <c r="N79" i="51" s="1"/>
  <c r="M64" i="51"/>
  <c r="N64" i="51" s="1"/>
  <c r="M26" i="51"/>
  <c r="N26" i="51" s="1"/>
  <c r="M37" i="51"/>
  <c r="N37" i="51" s="1"/>
  <c r="M23" i="51"/>
  <c r="N23" i="51" s="1"/>
  <c r="M8" i="51"/>
  <c r="N8" i="51" s="1"/>
  <c r="M40" i="51"/>
  <c r="N40" i="51" s="1"/>
  <c r="M93" i="51"/>
  <c r="N93" i="51" s="1"/>
  <c r="M71" i="51"/>
  <c r="N71" i="51" s="1"/>
  <c r="M57" i="51"/>
  <c r="N57" i="51" s="1"/>
  <c r="M53" i="51"/>
  <c r="N53" i="51" s="1"/>
  <c r="M11" i="51"/>
  <c r="N11" i="51" s="1"/>
  <c r="M49" i="51"/>
  <c r="N49" i="51" s="1"/>
  <c r="M6" i="51"/>
  <c r="N6" i="51" s="1"/>
  <c r="M4" i="51"/>
  <c r="N4" i="51" s="1"/>
  <c r="M25" i="51"/>
  <c r="N25" i="51" s="1"/>
  <c r="M95" i="51"/>
  <c r="N95" i="51" s="1"/>
  <c r="M77" i="51"/>
  <c r="N77" i="51" s="1"/>
  <c r="M72" i="51"/>
  <c r="N72" i="51" s="1"/>
  <c r="M61" i="51"/>
  <c r="N61" i="51" s="1"/>
  <c r="M56" i="51"/>
  <c r="N56" i="51" s="1"/>
  <c r="M52" i="51"/>
  <c r="N52" i="51" s="1"/>
  <c r="M45" i="51"/>
  <c r="N45" i="51" s="1"/>
  <c r="M38" i="51"/>
  <c r="N38" i="51" s="1"/>
  <c r="M36" i="51"/>
  <c r="N36" i="51" s="1"/>
  <c r="M9" i="51"/>
  <c r="N9" i="51" s="1"/>
  <c r="M81" i="51"/>
  <c r="N81" i="51" s="1"/>
  <c r="M65" i="51"/>
  <c r="N65" i="51" s="1"/>
  <c r="M60" i="51"/>
  <c r="N60" i="51" s="1"/>
  <c r="M48" i="51"/>
  <c r="N48" i="51" s="1"/>
  <c r="M41" i="51"/>
  <c r="N41" i="51" s="1"/>
  <c r="M15" i="51"/>
  <c r="N15" i="51" s="1"/>
  <c r="M14" i="51"/>
  <c r="N14" i="51" s="1"/>
  <c r="M5" i="51"/>
  <c r="N5" i="51" s="1"/>
  <c r="M7" i="51"/>
  <c r="N7" i="51" s="1"/>
  <c r="M21" i="51"/>
  <c r="N21" i="51" s="1"/>
  <c r="M17" i="51"/>
  <c r="N17" i="51" s="1"/>
  <c r="M13" i="51"/>
  <c r="N13" i="51" s="1"/>
  <c r="M44" i="51"/>
  <c r="N44" i="51" s="1"/>
  <c r="M18" i="51"/>
  <c r="N18" i="51" s="1"/>
  <c r="M10" i="51"/>
  <c r="N10" i="51" s="1"/>
  <c r="AD105" i="51"/>
  <c r="AE105" i="51" s="1"/>
  <c r="AD104" i="51"/>
  <c r="AE104" i="51" s="1"/>
  <c r="AD69" i="51"/>
  <c r="AE69" i="51" s="1"/>
  <c r="AD71" i="51"/>
  <c r="AE71" i="51" s="1"/>
  <c r="AD100" i="51"/>
  <c r="AE100" i="51" s="1"/>
  <c r="AD96" i="51"/>
  <c r="AE96" i="51" s="1"/>
  <c r="AD93" i="51"/>
  <c r="AE93" i="51" s="1"/>
  <c r="AD67" i="51"/>
  <c r="AE67" i="51" s="1"/>
  <c r="AD65" i="51"/>
  <c r="AE65" i="51" s="1"/>
  <c r="AD103" i="51"/>
  <c r="AE103" i="51" s="1"/>
  <c r="AD97" i="51"/>
  <c r="AE97" i="51" s="1"/>
  <c r="AD91" i="51"/>
  <c r="AE91" i="51" s="1"/>
  <c r="AD89" i="51"/>
  <c r="AE89" i="51" s="1"/>
  <c r="AD87" i="51"/>
  <c r="AE87" i="51" s="1"/>
  <c r="AD85" i="51"/>
  <c r="AE85" i="51" s="1"/>
  <c r="AD60" i="51"/>
  <c r="AE60" i="51" s="1"/>
  <c r="AD101" i="51"/>
  <c r="AE101" i="51" s="1"/>
  <c r="AD98" i="51"/>
  <c r="AE98" i="51" s="1"/>
  <c r="AD94" i="51"/>
  <c r="AE94" i="51" s="1"/>
  <c r="AD102" i="51"/>
  <c r="AE102" i="51" s="1"/>
  <c r="AD99" i="51"/>
  <c r="AE99" i="51" s="1"/>
  <c r="AD95" i="51"/>
  <c r="AE95" i="51" s="1"/>
  <c r="AD92" i="51"/>
  <c r="AE92" i="51" s="1"/>
  <c r="AD90" i="51"/>
  <c r="AE90" i="51" s="1"/>
  <c r="AD88" i="51"/>
  <c r="AE88" i="51" s="1"/>
  <c r="AD86" i="51"/>
  <c r="AE86" i="51" s="1"/>
  <c r="AD84" i="51"/>
  <c r="AE84" i="51" s="1"/>
  <c r="AD77" i="51"/>
  <c r="AE77" i="51" s="1"/>
  <c r="AD72" i="51"/>
  <c r="AE72" i="51" s="1"/>
  <c r="AD61" i="51"/>
  <c r="AE61" i="51" s="1"/>
  <c r="AD59" i="51"/>
  <c r="AE59" i="51" s="1"/>
  <c r="AD22" i="51"/>
  <c r="AE22" i="51" s="1"/>
  <c r="AD14" i="51"/>
  <c r="AE14" i="51" s="1"/>
  <c r="AD79" i="51"/>
  <c r="AE79" i="51" s="1"/>
  <c r="AD25" i="51"/>
  <c r="AE25" i="51" s="1"/>
  <c r="AD17" i="51"/>
  <c r="AE17" i="51" s="1"/>
  <c r="AD81" i="51"/>
  <c r="AE81" i="51" s="1"/>
  <c r="AD74" i="51"/>
  <c r="AE74" i="51" s="1"/>
  <c r="AD58" i="51"/>
  <c r="AE58" i="51" s="1"/>
  <c r="AD54" i="51"/>
  <c r="AE54" i="51" s="1"/>
  <c r="AD50" i="51"/>
  <c r="AE50" i="51" s="1"/>
  <c r="AD46" i="51"/>
  <c r="AE46" i="51" s="1"/>
  <c r="AD42" i="51"/>
  <c r="AE42" i="51" s="1"/>
  <c r="AD38" i="51"/>
  <c r="AE38" i="51" s="1"/>
  <c r="AD34" i="51"/>
  <c r="AE34" i="51" s="1"/>
  <c r="AD32" i="51"/>
  <c r="AE32" i="51" s="1"/>
  <c r="AD30" i="51"/>
  <c r="AE30" i="51" s="1"/>
  <c r="AD28" i="51"/>
  <c r="AE28" i="51" s="1"/>
  <c r="AD20" i="51"/>
  <c r="AE20" i="51" s="1"/>
  <c r="AD76" i="51"/>
  <c r="AE76" i="51" s="1"/>
  <c r="AD62" i="51"/>
  <c r="AE62" i="51" s="1"/>
  <c r="AD57" i="51"/>
  <c r="AE57" i="51" s="1"/>
  <c r="AD53" i="51"/>
  <c r="AE53" i="51" s="1"/>
  <c r="AD49" i="51"/>
  <c r="AE49" i="51" s="1"/>
  <c r="AD45" i="51"/>
  <c r="AE45" i="51" s="1"/>
  <c r="AD41" i="51"/>
  <c r="AE41" i="51" s="1"/>
  <c r="AD83" i="51"/>
  <c r="AE83" i="51" s="1"/>
  <c r="AD78" i="51"/>
  <c r="AE78" i="51" s="1"/>
  <c r="AD63" i="51"/>
  <c r="AE63" i="51" s="1"/>
  <c r="AD26" i="51"/>
  <c r="AE26" i="51" s="1"/>
  <c r="AD18" i="51"/>
  <c r="AE18" i="51" s="1"/>
  <c r="AD82" i="51"/>
  <c r="AE82" i="51" s="1"/>
  <c r="AD73" i="51"/>
  <c r="AE73" i="51" s="1"/>
  <c r="AD70" i="51"/>
  <c r="AE70" i="51" s="1"/>
  <c r="AD56" i="51"/>
  <c r="AE56" i="51" s="1"/>
  <c r="AD52" i="51"/>
  <c r="AE52" i="51" s="1"/>
  <c r="AD48" i="51"/>
  <c r="AE48" i="51" s="1"/>
  <c r="AD44" i="51"/>
  <c r="AE44" i="51" s="1"/>
  <c r="AD40" i="51"/>
  <c r="AE40" i="51" s="1"/>
  <c r="AD36" i="51"/>
  <c r="AE36" i="51" s="1"/>
  <c r="AD33" i="51"/>
  <c r="AE33" i="51" s="1"/>
  <c r="AD31" i="51"/>
  <c r="AE31" i="51" s="1"/>
  <c r="AD29" i="51"/>
  <c r="AE29" i="51" s="1"/>
  <c r="AD24" i="51"/>
  <c r="AE24" i="51" s="1"/>
  <c r="AD55" i="51"/>
  <c r="AE55" i="51" s="1"/>
  <c r="AD51" i="51"/>
  <c r="AE51" i="51" s="1"/>
  <c r="AD35" i="51"/>
  <c r="AE35" i="51" s="1"/>
  <c r="AD6" i="51"/>
  <c r="AE6" i="51" s="1"/>
  <c r="AD9" i="51"/>
  <c r="AE9" i="51" s="1"/>
  <c r="AD47" i="51"/>
  <c r="AE47" i="51" s="1"/>
  <c r="AD23" i="51"/>
  <c r="AE23" i="51" s="1"/>
  <c r="AD4" i="51"/>
  <c r="AE4" i="51" s="1"/>
  <c r="AD11" i="51"/>
  <c r="AE11" i="51" s="1"/>
  <c r="AD80" i="51"/>
  <c r="AE80" i="51" s="1"/>
  <c r="AD75" i="51"/>
  <c r="AE75" i="51" s="1"/>
  <c r="AD68" i="51"/>
  <c r="AE68" i="51" s="1"/>
  <c r="AD64" i="51"/>
  <c r="AE64" i="51" s="1"/>
  <c r="AD37" i="51"/>
  <c r="AE37" i="51" s="1"/>
  <c r="AD43" i="51"/>
  <c r="AE43" i="51" s="1"/>
  <c r="AD27" i="51"/>
  <c r="AE27" i="51" s="1"/>
  <c r="AD19" i="51"/>
  <c r="AE19" i="51" s="1"/>
  <c r="AD7" i="51"/>
  <c r="AE7" i="51" s="1"/>
  <c r="AD39" i="51"/>
  <c r="AE39" i="51" s="1"/>
  <c r="AD10" i="51"/>
  <c r="AE10" i="51" s="1"/>
  <c r="AD15" i="51"/>
  <c r="AE15" i="51" s="1"/>
  <c r="AD13" i="51"/>
  <c r="AE13" i="51" s="1"/>
  <c r="AD12" i="51"/>
  <c r="AE12" i="51" s="1"/>
  <c r="AD5" i="51"/>
  <c r="AE5" i="51" s="1"/>
  <c r="AD8" i="51"/>
  <c r="AE8" i="51" s="1"/>
  <c r="AD66" i="51"/>
  <c r="AE66" i="51" s="1"/>
  <c r="AD21" i="51"/>
  <c r="AE21" i="51" s="1"/>
  <c r="AD16" i="51"/>
  <c r="AE16" i="51" s="1"/>
  <c r="AA79" i="46"/>
  <c r="AA72" i="46"/>
  <c r="Y69" i="46"/>
  <c r="AA69" i="46" s="1"/>
  <c r="AB77" i="46"/>
  <c r="Z67" i="46"/>
  <c r="AA66" i="46"/>
  <c r="AA76" i="46"/>
  <c r="AB78" i="46"/>
  <c r="AA77" i="46"/>
  <c r="AB68" i="46"/>
  <c r="AC83" i="46" s="1"/>
  <c r="AA78" i="46"/>
  <c r="AA73" i="46"/>
  <c r="AB79" i="46"/>
  <c r="AB72" i="46"/>
  <c r="AA67" i="46"/>
  <c r="AA68" i="46"/>
  <c r="AA70" i="46"/>
  <c r="AC68" i="46"/>
  <c r="AA59" i="46"/>
  <c r="Y64" i="46"/>
  <c r="AA64" i="46" s="1"/>
  <c r="AA63" i="46"/>
  <c r="Y62" i="46"/>
  <c r="AA62" i="46" s="1"/>
  <c r="AA61" i="46"/>
  <c r="Y60" i="46"/>
  <c r="AA60" i="46" s="1"/>
  <c r="AA56" i="46"/>
  <c r="AC56" i="46"/>
  <c r="AM20" i="51" l="1"/>
  <c r="AM12" i="51"/>
  <c r="AM23" i="51"/>
  <c r="AM15" i="51"/>
  <c r="AM26" i="51"/>
  <c r="AM18" i="51"/>
  <c r="AM24" i="51"/>
  <c r="AM16" i="51"/>
  <c r="AM4" i="51"/>
  <c r="AM10" i="51"/>
  <c r="AM5" i="51"/>
  <c r="AM25" i="51"/>
  <c r="AM19" i="51"/>
  <c r="AM7" i="51"/>
  <c r="AM27" i="51"/>
  <c r="AM22" i="51"/>
  <c r="AM14" i="51"/>
  <c r="AM13" i="51"/>
  <c r="AM8" i="51"/>
  <c r="AM21" i="51"/>
  <c r="AM17" i="51"/>
  <c r="AM11" i="51"/>
  <c r="AM6" i="51"/>
  <c r="AM9" i="51"/>
  <c r="AC93" i="46"/>
  <c r="D45" i="46"/>
  <c r="E45" i="46"/>
  <c r="H45" i="46" s="1"/>
  <c r="J45" i="46" s="1"/>
  <c r="F45" i="46"/>
  <c r="G45" i="46" s="1"/>
  <c r="K45" i="46" s="1"/>
  <c r="D46" i="46"/>
  <c r="E46" i="46"/>
  <c r="H46" i="46" s="1"/>
  <c r="J46" i="46" s="1"/>
  <c r="F46" i="46"/>
  <c r="G46" i="46" s="1"/>
  <c r="K46" i="46" s="1"/>
  <c r="K47" i="46"/>
  <c r="L90" i="46" s="1"/>
  <c r="J48" i="46"/>
  <c r="K48" i="46"/>
  <c r="J49" i="46"/>
  <c r="K49" i="46"/>
  <c r="J50" i="46"/>
  <c r="K50" i="46"/>
  <c r="J51" i="46"/>
  <c r="K51" i="46"/>
  <c r="D41" i="46"/>
  <c r="E41" i="46"/>
  <c r="H41" i="46" s="1"/>
  <c r="F41" i="46"/>
  <c r="G41" i="46" s="1"/>
  <c r="K41" i="46" s="1"/>
  <c r="D42" i="46"/>
  <c r="E42" i="46"/>
  <c r="H42" i="46" s="1"/>
  <c r="J42" i="46" s="1"/>
  <c r="F42" i="46"/>
  <c r="G42" i="46" s="1"/>
  <c r="K42" i="46" s="1"/>
  <c r="D43" i="46"/>
  <c r="E43" i="46"/>
  <c r="H43" i="46" s="1"/>
  <c r="F43" i="46"/>
  <c r="G43" i="46" s="1"/>
  <c r="K43" i="46" s="1"/>
  <c r="D44" i="46"/>
  <c r="E44" i="46"/>
  <c r="H44" i="46" s="1"/>
  <c r="F44" i="46"/>
  <c r="G44" i="46" s="1"/>
  <c r="K44" i="46" s="1"/>
  <c r="J47" i="46"/>
  <c r="AB52" i="46"/>
  <c r="AB53" i="46"/>
  <c r="AA47" i="46"/>
  <c r="AB47" i="46"/>
  <c r="AB48" i="46"/>
  <c r="AB51" i="46"/>
  <c r="U40" i="46"/>
  <c r="V40" i="46"/>
  <c r="Y40" i="46" s="1"/>
  <c r="AA40" i="46" s="1"/>
  <c r="W40" i="46"/>
  <c r="X40" i="46" s="1"/>
  <c r="AB40" i="46" s="1"/>
  <c r="AB45" i="46"/>
  <c r="AB46" i="46"/>
  <c r="U38" i="46"/>
  <c r="V38" i="46"/>
  <c r="Y38" i="46" s="1"/>
  <c r="AA38" i="46" s="1"/>
  <c r="W38" i="46"/>
  <c r="X38" i="46" s="1"/>
  <c r="AB38" i="46" s="1"/>
  <c r="U39" i="46"/>
  <c r="V39" i="46"/>
  <c r="Y39" i="46" s="1"/>
  <c r="AA39" i="46" s="1"/>
  <c r="W39" i="46"/>
  <c r="X39" i="46" s="1"/>
  <c r="AB39" i="46" s="1"/>
  <c r="U36" i="46"/>
  <c r="V36" i="46"/>
  <c r="Y36" i="46" s="1"/>
  <c r="AA36" i="46" s="1"/>
  <c r="W36" i="46"/>
  <c r="X36" i="46" s="1"/>
  <c r="AB36" i="46" s="1"/>
  <c r="U37" i="46"/>
  <c r="V37" i="46"/>
  <c r="Y37" i="46" s="1"/>
  <c r="AA37" i="46" s="1"/>
  <c r="W37" i="46"/>
  <c r="X37" i="46" s="1"/>
  <c r="AB37" i="46" s="1"/>
  <c r="D36" i="46"/>
  <c r="E36" i="46"/>
  <c r="H36" i="46" s="1"/>
  <c r="F36" i="46"/>
  <c r="G36" i="46" s="1"/>
  <c r="K36" i="46" s="1"/>
  <c r="D37" i="46"/>
  <c r="E37" i="46"/>
  <c r="H37" i="46" s="1"/>
  <c r="F37" i="46"/>
  <c r="G37" i="46" s="1"/>
  <c r="K37" i="46" s="1"/>
  <c r="D38" i="46"/>
  <c r="E38" i="46"/>
  <c r="H38" i="46" s="1"/>
  <c r="F38" i="46"/>
  <c r="G38" i="46" s="1"/>
  <c r="K38" i="46" s="1"/>
  <c r="D39" i="46"/>
  <c r="E39" i="46"/>
  <c r="H39" i="46" s="1"/>
  <c r="F39" i="46"/>
  <c r="G39" i="46" s="1"/>
  <c r="K39" i="46" s="1"/>
  <c r="D40" i="46"/>
  <c r="E40" i="46"/>
  <c r="H40" i="46" s="1"/>
  <c r="F40" i="46"/>
  <c r="G40" i="46" s="1"/>
  <c r="K40" i="46" s="1"/>
  <c r="D35" i="46"/>
  <c r="E35" i="46"/>
  <c r="H35" i="46" s="1"/>
  <c r="F35" i="46"/>
  <c r="G35" i="46" s="1"/>
  <c r="K35" i="46" s="1"/>
  <c r="U35" i="46"/>
  <c r="V35" i="46"/>
  <c r="Y35" i="46" s="1"/>
  <c r="AA35" i="46" s="1"/>
  <c r="W35" i="46"/>
  <c r="X35" i="46" s="1"/>
  <c r="AB35" i="46" s="1"/>
  <c r="U34" i="46"/>
  <c r="V34" i="46"/>
  <c r="Y34" i="46" s="1"/>
  <c r="W34" i="46"/>
  <c r="X34" i="46" s="1"/>
  <c r="AB34" i="46" s="1"/>
  <c r="U33" i="46"/>
  <c r="V33" i="46"/>
  <c r="Y33" i="46" s="1"/>
  <c r="W33" i="46"/>
  <c r="X33" i="46" s="1"/>
  <c r="AB33" i="46" s="1"/>
  <c r="U32" i="46"/>
  <c r="V32" i="46"/>
  <c r="Y32" i="46" s="1"/>
  <c r="W32" i="46"/>
  <c r="X32" i="46" s="1"/>
  <c r="AB32" i="46" s="1"/>
  <c r="U31" i="46"/>
  <c r="V31" i="46"/>
  <c r="Y31" i="46" s="1"/>
  <c r="W31" i="46"/>
  <c r="X31" i="46" s="1"/>
  <c r="AB31" i="46" s="1"/>
  <c r="U19" i="46"/>
  <c r="V19" i="46"/>
  <c r="U20" i="46"/>
  <c r="V20" i="46"/>
  <c r="Y20" i="46" s="1"/>
  <c r="U21" i="46"/>
  <c r="V21" i="46"/>
  <c r="Y21" i="46" s="1"/>
  <c r="U22" i="46"/>
  <c r="V22" i="46"/>
  <c r="Y22" i="46" s="1"/>
  <c r="U23" i="46"/>
  <c r="V23" i="46"/>
  <c r="Y23" i="46" s="1"/>
  <c r="U24" i="46"/>
  <c r="V24" i="46"/>
  <c r="Y24" i="46" s="1"/>
  <c r="U25" i="46"/>
  <c r="V25" i="46"/>
  <c r="Y25" i="46" s="1"/>
  <c r="U26" i="46"/>
  <c r="V26" i="46"/>
  <c r="Y26" i="46" s="1"/>
  <c r="U27" i="46"/>
  <c r="V27" i="46"/>
  <c r="Y27" i="46" s="1"/>
  <c r="AA27" i="46" s="1"/>
  <c r="U28" i="46"/>
  <c r="V28" i="46"/>
  <c r="Y28" i="46" s="1"/>
  <c r="U29" i="46"/>
  <c r="V29" i="46"/>
  <c r="Y29" i="46" s="1"/>
  <c r="U30" i="46"/>
  <c r="V30" i="46"/>
  <c r="Y30" i="46" s="1"/>
  <c r="U17" i="46"/>
  <c r="V17" i="46"/>
  <c r="U18" i="46"/>
  <c r="V18" i="46"/>
  <c r="Y18" i="46" s="1"/>
  <c r="W17" i="46"/>
  <c r="X17" i="46" s="1"/>
  <c r="AB17" i="46" s="1"/>
  <c r="W19" i="46"/>
  <c r="X19" i="46" s="1"/>
  <c r="AB19" i="46" s="1"/>
  <c r="W20" i="46"/>
  <c r="X20" i="46" s="1"/>
  <c r="AB20" i="46" s="1"/>
  <c r="W21" i="46"/>
  <c r="X21" i="46" s="1"/>
  <c r="AB21" i="46" s="1"/>
  <c r="W22" i="46"/>
  <c r="X22" i="46" s="1"/>
  <c r="AB22" i="46" s="1"/>
  <c r="W23" i="46"/>
  <c r="X23" i="46" s="1"/>
  <c r="AB23" i="46" s="1"/>
  <c r="W24" i="46"/>
  <c r="X24" i="46" s="1"/>
  <c r="AB24" i="46" s="1"/>
  <c r="W25" i="46"/>
  <c r="X25" i="46" s="1"/>
  <c r="AB25" i="46" s="1"/>
  <c r="W26" i="46"/>
  <c r="X26" i="46" s="1"/>
  <c r="AB26" i="46" s="1"/>
  <c r="W27" i="46"/>
  <c r="X27" i="46" s="1"/>
  <c r="AB27" i="46" s="1"/>
  <c r="W28" i="46"/>
  <c r="X28" i="46" s="1"/>
  <c r="AB28" i="46" s="1"/>
  <c r="W29" i="46"/>
  <c r="X29" i="46" s="1"/>
  <c r="AB29" i="46" s="1"/>
  <c r="W30" i="46"/>
  <c r="X30" i="46" s="1"/>
  <c r="AB30" i="46" s="1"/>
  <c r="U15" i="46"/>
  <c r="V15" i="46"/>
  <c r="Y15" i="46" s="1"/>
  <c r="AA15" i="46" s="1"/>
  <c r="W15" i="46"/>
  <c r="X15" i="46" s="1"/>
  <c r="AB15" i="46" s="1"/>
  <c r="U16" i="46"/>
  <c r="V16" i="46"/>
  <c r="Y16" i="46" s="1"/>
  <c r="W16" i="46"/>
  <c r="X16" i="46" s="1"/>
  <c r="AB16" i="46" s="1"/>
  <c r="W18" i="46"/>
  <c r="X18" i="46" s="1"/>
  <c r="AB18" i="46" s="1"/>
  <c r="U13" i="46"/>
  <c r="V13" i="46"/>
  <c r="Y13" i="46" s="1"/>
  <c r="AA13" i="46" s="1"/>
  <c r="U14" i="46"/>
  <c r="V14" i="46"/>
  <c r="Y14" i="46" s="1"/>
  <c r="AA14" i="46" s="1"/>
  <c r="W13" i="46"/>
  <c r="X13" i="46" s="1"/>
  <c r="AB13" i="46" s="1"/>
  <c r="D20" i="46"/>
  <c r="E20" i="46"/>
  <c r="H20" i="46" s="1"/>
  <c r="D21" i="46"/>
  <c r="E21" i="46"/>
  <c r="H21" i="46" s="1"/>
  <c r="D22" i="46"/>
  <c r="E22" i="46"/>
  <c r="H22" i="46" s="1"/>
  <c r="D23" i="46"/>
  <c r="E23" i="46"/>
  <c r="H23" i="46" s="1"/>
  <c r="D24" i="46"/>
  <c r="E24" i="46"/>
  <c r="H24" i="46" s="1"/>
  <c r="D25" i="46"/>
  <c r="E25" i="46"/>
  <c r="H25" i="46" s="1"/>
  <c r="D26" i="46"/>
  <c r="E26" i="46"/>
  <c r="H26" i="46" s="1"/>
  <c r="D27" i="46"/>
  <c r="E27" i="46"/>
  <c r="H27" i="46" s="1"/>
  <c r="D28" i="46"/>
  <c r="E28" i="46"/>
  <c r="H28" i="46" s="1"/>
  <c r="J28" i="46" s="1"/>
  <c r="D29" i="46"/>
  <c r="E29" i="46"/>
  <c r="H29" i="46" s="1"/>
  <c r="D30" i="46"/>
  <c r="E30" i="46"/>
  <c r="H30" i="46" s="1"/>
  <c r="D31" i="46"/>
  <c r="E31" i="46"/>
  <c r="H31" i="46" s="1"/>
  <c r="D32" i="46"/>
  <c r="E32" i="46"/>
  <c r="H32" i="46" s="1"/>
  <c r="D33" i="46"/>
  <c r="E33" i="46"/>
  <c r="H33" i="46" s="1"/>
  <c r="D34" i="46"/>
  <c r="E34" i="46"/>
  <c r="H34" i="46" s="1"/>
  <c r="D18" i="46"/>
  <c r="E18" i="46"/>
  <c r="H18" i="46" s="1"/>
  <c r="J18" i="46" s="1"/>
  <c r="D19" i="46"/>
  <c r="E19" i="46"/>
  <c r="H19" i="46" s="1"/>
  <c r="F18" i="46"/>
  <c r="G18" i="46" s="1"/>
  <c r="K18" i="46" s="1"/>
  <c r="D16" i="46"/>
  <c r="E16" i="46"/>
  <c r="H16" i="46" s="1"/>
  <c r="D17" i="46"/>
  <c r="E17" i="46"/>
  <c r="H17" i="46" s="1"/>
  <c r="F16" i="46"/>
  <c r="G16" i="46" s="1"/>
  <c r="K16" i="46" s="1"/>
  <c r="D14" i="46"/>
  <c r="E14" i="46"/>
  <c r="H14" i="46" s="1"/>
  <c r="J14" i="46" s="1"/>
  <c r="D15" i="46"/>
  <c r="E15" i="46"/>
  <c r="H15" i="46" s="1"/>
  <c r="J15" i="46" s="1"/>
  <c r="F14" i="46"/>
  <c r="G14" i="46" s="1"/>
  <c r="K14" i="46" s="1"/>
  <c r="D12" i="46"/>
  <c r="E12" i="46"/>
  <c r="D13" i="46"/>
  <c r="E13" i="46"/>
  <c r="H13" i="46" s="1"/>
  <c r="F12" i="46"/>
  <c r="G12" i="46" s="1"/>
  <c r="K12" i="46" s="1"/>
  <c r="F4" i="46"/>
  <c r="G4" i="46" s="1"/>
  <c r="K4" i="46" s="1"/>
  <c r="V6" i="46"/>
  <c r="Y6" i="46" s="1"/>
  <c r="AA6" i="46" s="1"/>
  <c r="V7" i="46"/>
  <c r="Y7" i="46" s="1"/>
  <c r="AA7" i="46" s="1"/>
  <c r="V8" i="46"/>
  <c r="Y8" i="46" s="1"/>
  <c r="AA8" i="46" s="1"/>
  <c r="V9" i="46"/>
  <c r="Y9" i="46" s="1"/>
  <c r="AA9" i="46" s="1"/>
  <c r="V10" i="46"/>
  <c r="Y10" i="46" s="1"/>
  <c r="AA10" i="46" s="1"/>
  <c r="V11" i="46"/>
  <c r="Y11" i="46" s="1"/>
  <c r="AA11" i="46" s="1"/>
  <c r="V12" i="46"/>
  <c r="Y12" i="46" s="1"/>
  <c r="AA12" i="46" s="1"/>
  <c r="W5" i="46"/>
  <c r="X5" i="46" s="1"/>
  <c r="AB5" i="46" s="1"/>
  <c r="W6" i="46"/>
  <c r="X6" i="46" s="1"/>
  <c r="AB6" i="46" s="1"/>
  <c r="W7" i="46"/>
  <c r="X7" i="46" s="1"/>
  <c r="AB7" i="46" s="1"/>
  <c r="W8" i="46"/>
  <c r="X8" i="46" s="1"/>
  <c r="AB8" i="46" s="1"/>
  <c r="W9" i="46"/>
  <c r="X9" i="46" s="1"/>
  <c r="AB9" i="46" s="1"/>
  <c r="W10" i="46"/>
  <c r="X10" i="46" s="1"/>
  <c r="AB10" i="46" s="1"/>
  <c r="W11" i="46"/>
  <c r="X11" i="46" s="1"/>
  <c r="AB11" i="46" s="1"/>
  <c r="AC79" i="46" s="1"/>
  <c r="W12" i="46"/>
  <c r="X12" i="46" s="1"/>
  <c r="AB12" i="46" s="1"/>
  <c r="W14" i="46"/>
  <c r="X14" i="46" s="1"/>
  <c r="AB14" i="46" s="1"/>
  <c r="U5" i="46"/>
  <c r="U6" i="46"/>
  <c r="U7" i="46"/>
  <c r="U8" i="46"/>
  <c r="U9" i="46"/>
  <c r="U10" i="46"/>
  <c r="U11" i="46"/>
  <c r="U12" i="46"/>
  <c r="D5" i="46"/>
  <c r="D6" i="46"/>
  <c r="D7" i="46"/>
  <c r="D8" i="46"/>
  <c r="D9" i="46"/>
  <c r="D10" i="46"/>
  <c r="D11" i="46"/>
  <c r="F5" i="46"/>
  <c r="G5" i="46" s="1"/>
  <c r="K5" i="46" s="1"/>
  <c r="F6" i="46"/>
  <c r="G6" i="46" s="1"/>
  <c r="K6" i="46" s="1"/>
  <c r="F7" i="46"/>
  <c r="G7" i="46" s="1"/>
  <c r="K7" i="46" s="1"/>
  <c r="F8" i="46"/>
  <c r="G8" i="46" s="1"/>
  <c r="K8" i="46" s="1"/>
  <c r="F9" i="46"/>
  <c r="G9" i="46" s="1"/>
  <c r="K9" i="46" s="1"/>
  <c r="F10" i="46"/>
  <c r="G10" i="46" s="1"/>
  <c r="K10" i="46" s="1"/>
  <c r="F11" i="46"/>
  <c r="G11" i="46" s="1"/>
  <c r="K11" i="46" s="1"/>
  <c r="F13" i="46"/>
  <c r="G13" i="46" s="1"/>
  <c r="K13" i="46" s="1"/>
  <c r="F15" i="46"/>
  <c r="G15" i="46" s="1"/>
  <c r="K15" i="46" s="1"/>
  <c r="F17" i="46"/>
  <c r="G17" i="46" s="1"/>
  <c r="K17" i="46" s="1"/>
  <c r="L17" i="46" s="1"/>
  <c r="F19" i="46"/>
  <c r="G19" i="46" s="1"/>
  <c r="K19" i="46" s="1"/>
  <c r="F20" i="46"/>
  <c r="G20" i="46" s="1"/>
  <c r="K20" i="46" s="1"/>
  <c r="F21" i="46"/>
  <c r="G21" i="46" s="1"/>
  <c r="K21" i="46" s="1"/>
  <c r="F22" i="46"/>
  <c r="G22" i="46" s="1"/>
  <c r="K22" i="46" s="1"/>
  <c r="F23" i="46"/>
  <c r="G23" i="46" s="1"/>
  <c r="K23" i="46" s="1"/>
  <c r="F24" i="46"/>
  <c r="G24" i="46" s="1"/>
  <c r="K24" i="46" s="1"/>
  <c r="F25" i="46"/>
  <c r="G25" i="46" s="1"/>
  <c r="K25" i="46" s="1"/>
  <c r="F26" i="46"/>
  <c r="G26" i="46" s="1"/>
  <c r="K26" i="46" s="1"/>
  <c r="F27" i="46"/>
  <c r="G27" i="46" s="1"/>
  <c r="K27" i="46" s="1"/>
  <c r="F28" i="46"/>
  <c r="G28" i="46" s="1"/>
  <c r="K28" i="46" s="1"/>
  <c r="F29" i="46"/>
  <c r="G29" i="46" s="1"/>
  <c r="K29" i="46" s="1"/>
  <c r="F30" i="46"/>
  <c r="G30" i="46" s="1"/>
  <c r="K30" i="46" s="1"/>
  <c r="F31" i="46"/>
  <c r="G31" i="46" s="1"/>
  <c r="K31" i="46" s="1"/>
  <c r="F32" i="46"/>
  <c r="G32" i="46" s="1"/>
  <c r="K32" i="46" s="1"/>
  <c r="F33" i="46"/>
  <c r="G33" i="46" s="1"/>
  <c r="K33" i="46" s="1"/>
  <c r="F34" i="46"/>
  <c r="G34" i="46" s="1"/>
  <c r="K34" i="46" s="1"/>
  <c r="E11" i="46"/>
  <c r="H11" i="46" s="1"/>
  <c r="J11" i="46" s="1"/>
  <c r="E10" i="46"/>
  <c r="H10" i="46" s="1"/>
  <c r="J10" i="46" s="1"/>
  <c r="E9" i="46"/>
  <c r="H9" i="46" s="1"/>
  <c r="J9" i="46" s="1"/>
  <c r="E8" i="46"/>
  <c r="H8" i="46" s="1"/>
  <c r="J8" i="46" s="1"/>
  <c r="E7" i="46"/>
  <c r="H7" i="46" s="1"/>
  <c r="J7" i="46" s="1"/>
  <c r="E6" i="46"/>
  <c r="H6" i="46" s="1"/>
  <c r="J6" i="46" s="1"/>
  <c r="V5" i="46"/>
  <c r="Y5" i="46" s="1"/>
  <c r="AA5" i="46" s="1"/>
  <c r="E5" i="46"/>
  <c r="H5" i="46" s="1"/>
  <c r="J5" i="46" s="1"/>
  <c r="AA4" i="46"/>
  <c r="W4" i="46"/>
  <c r="X4" i="46" s="1"/>
  <c r="AB4" i="46" s="1"/>
  <c r="U4" i="46"/>
  <c r="J4" i="46"/>
  <c r="U92" i="45"/>
  <c r="Y92" i="45"/>
  <c r="AA92" i="45" s="1"/>
  <c r="W92" i="45"/>
  <c r="X92" i="45" s="1"/>
  <c r="AB92" i="45" s="1"/>
  <c r="U93" i="45"/>
  <c r="W93" i="45"/>
  <c r="X93" i="45" s="1"/>
  <c r="AB93" i="45" s="1"/>
  <c r="Y93" i="45"/>
  <c r="U94" i="45"/>
  <c r="W94" i="45"/>
  <c r="X94" i="45"/>
  <c r="Y94" i="45"/>
  <c r="U95" i="45"/>
  <c r="W95" i="45"/>
  <c r="X95" i="45" s="1"/>
  <c r="AB95" i="45" s="1"/>
  <c r="Y95" i="45"/>
  <c r="U96" i="45"/>
  <c r="W96" i="45"/>
  <c r="X96" i="45"/>
  <c r="AB96" i="45" s="1"/>
  <c r="Y96" i="45"/>
  <c r="U97" i="45"/>
  <c r="W97" i="45"/>
  <c r="X97" i="45" s="1"/>
  <c r="AB97" i="45" s="1"/>
  <c r="Y97" i="45"/>
  <c r="U98" i="45"/>
  <c r="Y98" i="45"/>
  <c r="AA98" i="45" s="1"/>
  <c r="W98" i="45"/>
  <c r="X98" i="45"/>
  <c r="U99" i="45"/>
  <c r="W99" i="45"/>
  <c r="X99" i="45"/>
  <c r="Y99" i="45"/>
  <c r="U100" i="45"/>
  <c r="Y100" i="45"/>
  <c r="AA100" i="45" s="1"/>
  <c r="W100" i="45"/>
  <c r="X100" i="45"/>
  <c r="AB100" i="45" s="1"/>
  <c r="U101" i="45"/>
  <c r="W101" i="45"/>
  <c r="X101" i="45" s="1"/>
  <c r="AB101" i="45" s="1"/>
  <c r="Y101" i="45"/>
  <c r="AA101" i="45" s="1"/>
  <c r="U91" i="45"/>
  <c r="Y91" i="45"/>
  <c r="AA91" i="45" s="1"/>
  <c r="W91" i="45"/>
  <c r="X91" i="45" s="1"/>
  <c r="AB91" i="45" s="1"/>
  <c r="AA93" i="45"/>
  <c r="AA94" i="45"/>
  <c r="AB94" i="45"/>
  <c r="AA95" i="45"/>
  <c r="AA96" i="45"/>
  <c r="AA97" i="45"/>
  <c r="AB98" i="45"/>
  <c r="AA99" i="45"/>
  <c r="AB99" i="45"/>
  <c r="D88" i="45"/>
  <c r="H88" i="45"/>
  <c r="J88" i="45" s="1"/>
  <c r="F88" i="45"/>
  <c r="G88" i="45" s="1"/>
  <c r="K88" i="45" s="1"/>
  <c r="D89" i="45"/>
  <c r="H89" i="45"/>
  <c r="J89" i="45" s="1"/>
  <c r="F89" i="45"/>
  <c r="G89" i="45" s="1"/>
  <c r="K89" i="45" s="1"/>
  <c r="D90" i="45"/>
  <c r="H90" i="45"/>
  <c r="J90" i="45" s="1"/>
  <c r="F90" i="45"/>
  <c r="G90" i="45" s="1"/>
  <c r="K90" i="45" s="1"/>
  <c r="D91" i="45"/>
  <c r="H91" i="45"/>
  <c r="J91" i="45" s="1"/>
  <c r="F91" i="45"/>
  <c r="G91" i="45" s="1"/>
  <c r="K91" i="45" s="1"/>
  <c r="D92" i="45"/>
  <c r="H92" i="45"/>
  <c r="J92" i="45" s="1"/>
  <c r="F92" i="45"/>
  <c r="G92" i="45" s="1"/>
  <c r="K92" i="45" s="1"/>
  <c r="D93" i="45"/>
  <c r="H93" i="45"/>
  <c r="J93" i="45" s="1"/>
  <c r="F93" i="45"/>
  <c r="G93" i="45" s="1"/>
  <c r="K93" i="45" s="1"/>
  <c r="D94" i="45"/>
  <c r="H94" i="45"/>
  <c r="J94" i="45" s="1"/>
  <c r="F94" i="45"/>
  <c r="G94" i="45" s="1"/>
  <c r="K94" i="45" s="1"/>
  <c r="D95" i="45"/>
  <c r="H95" i="45"/>
  <c r="J95" i="45" s="1"/>
  <c r="F95" i="45"/>
  <c r="G95" i="45" s="1"/>
  <c r="K95" i="45" s="1"/>
  <c r="D96" i="45"/>
  <c r="H96" i="45"/>
  <c r="J96" i="45" s="1"/>
  <c r="F96" i="45"/>
  <c r="G96" i="45" s="1"/>
  <c r="K96" i="45" s="1"/>
  <c r="D97" i="45"/>
  <c r="H97" i="45"/>
  <c r="J97" i="45" s="1"/>
  <c r="F97" i="45"/>
  <c r="G97" i="45" s="1"/>
  <c r="K97" i="45" s="1"/>
  <c r="D98" i="45"/>
  <c r="H98" i="45"/>
  <c r="J98" i="45" s="1"/>
  <c r="F98" i="45"/>
  <c r="G98" i="45" s="1"/>
  <c r="K98" i="45" s="1"/>
  <c r="U83" i="45"/>
  <c r="Y83" i="45"/>
  <c r="AA83" i="45" s="1"/>
  <c r="W83" i="45"/>
  <c r="X83" i="45" s="1"/>
  <c r="AB83" i="45" s="1"/>
  <c r="U84" i="45"/>
  <c r="Y84" i="45"/>
  <c r="AA84" i="45" s="1"/>
  <c r="W84" i="45"/>
  <c r="X84" i="45" s="1"/>
  <c r="AB84" i="45" s="1"/>
  <c r="U85" i="45"/>
  <c r="Y85" i="45"/>
  <c r="AA85" i="45" s="1"/>
  <c r="W85" i="45"/>
  <c r="X85" i="45" s="1"/>
  <c r="AB85" i="45" s="1"/>
  <c r="U86" i="45"/>
  <c r="Y86" i="45"/>
  <c r="AA86" i="45" s="1"/>
  <c r="W86" i="45"/>
  <c r="X86" i="45" s="1"/>
  <c r="AB86" i="45" s="1"/>
  <c r="U87" i="45"/>
  <c r="Y87" i="45"/>
  <c r="AA87" i="45" s="1"/>
  <c r="W87" i="45"/>
  <c r="X87" i="45"/>
  <c r="AB87" i="45" s="1"/>
  <c r="U88" i="45"/>
  <c r="Y88" i="45"/>
  <c r="AA88" i="45" s="1"/>
  <c r="W88" i="45"/>
  <c r="X88" i="45" s="1"/>
  <c r="AB88" i="45" s="1"/>
  <c r="U89" i="45"/>
  <c r="Y89" i="45"/>
  <c r="AA89" i="45" s="1"/>
  <c r="W89" i="45"/>
  <c r="X89" i="45" s="1"/>
  <c r="AB89" i="45" s="1"/>
  <c r="U90" i="45"/>
  <c r="Y90" i="45"/>
  <c r="AA90" i="45" s="1"/>
  <c r="W90" i="45"/>
  <c r="X90" i="45" s="1"/>
  <c r="AB90" i="45" s="1"/>
  <c r="D77" i="45"/>
  <c r="H77" i="45"/>
  <c r="J77" i="45" s="1"/>
  <c r="F77" i="45"/>
  <c r="G77" i="45" s="1"/>
  <c r="K77" i="45" s="1"/>
  <c r="D78" i="45"/>
  <c r="H78" i="45"/>
  <c r="J78" i="45" s="1"/>
  <c r="F78" i="45"/>
  <c r="G78" i="45" s="1"/>
  <c r="K78" i="45" s="1"/>
  <c r="D79" i="45"/>
  <c r="H79" i="45"/>
  <c r="J79" i="45" s="1"/>
  <c r="F79" i="45"/>
  <c r="G79" i="45" s="1"/>
  <c r="K79" i="45" s="1"/>
  <c r="D80" i="45"/>
  <c r="H80" i="45"/>
  <c r="J80" i="45" s="1"/>
  <c r="F80" i="45"/>
  <c r="G80" i="45" s="1"/>
  <c r="K80" i="45" s="1"/>
  <c r="D81" i="45"/>
  <c r="H81" i="45"/>
  <c r="J81" i="45" s="1"/>
  <c r="F81" i="45"/>
  <c r="G81" i="45" s="1"/>
  <c r="K81" i="45" s="1"/>
  <c r="D82" i="45"/>
  <c r="H82" i="45"/>
  <c r="J82" i="45" s="1"/>
  <c r="F82" i="45"/>
  <c r="G82" i="45" s="1"/>
  <c r="K82" i="45" s="1"/>
  <c r="D83" i="45"/>
  <c r="H83" i="45"/>
  <c r="J83" i="45" s="1"/>
  <c r="F83" i="45"/>
  <c r="G83" i="45" s="1"/>
  <c r="K83" i="45" s="1"/>
  <c r="D84" i="45"/>
  <c r="H84" i="45"/>
  <c r="J84" i="45" s="1"/>
  <c r="F84" i="45"/>
  <c r="G84" i="45" s="1"/>
  <c r="K84" i="45" s="1"/>
  <c r="D85" i="45"/>
  <c r="H85" i="45"/>
  <c r="J85" i="45" s="1"/>
  <c r="F85" i="45"/>
  <c r="G85" i="45" s="1"/>
  <c r="K85" i="45" s="1"/>
  <c r="D86" i="45"/>
  <c r="H86" i="45"/>
  <c r="J86" i="45" s="1"/>
  <c r="F86" i="45"/>
  <c r="G86" i="45" s="1"/>
  <c r="K86" i="45" s="1"/>
  <c r="D87" i="45"/>
  <c r="H87" i="45"/>
  <c r="J87" i="45" s="1"/>
  <c r="F87" i="45"/>
  <c r="G87" i="45" s="1"/>
  <c r="K87" i="45" s="1"/>
  <c r="U72" i="45"/>
  <c r="Y72" i="45"/>
  <c r="AA72" i="45" s="1"/>
  <c r="W72" i="45"/>
  <c r="X72" i="45" s="1"/>
  <c r="AB72" i="45" s="1"/>
  <c r="U73" i="45"/>
  <c r="Y73" i="45"/>
  <c r="AA73" i="45" s="1"/>
  <c r="W73" i="45"/>
  <c r="X73" i="45" s="1"/>
  <c r="AB73" i="45" s="1"/>
  <c r="U74" i="45"/>
  <c r="Y74" i="45"/>
  <c r="AA74" i="45" s="1"/>
  <c r="W74" i="45"/>
  <c r="X74" i="45" s="1"/>
  <c r="AB74" i="45" s="1"/>
  <c r="U75" i="45"/>
  <c r="Y75" i="45"/>
  <c r="AA75" i="45" s="1"/>
  <c r="W75" i="45"/>
  <c r="X75" i="45" s="1"/>
  <c r="AB75" i="45" s="1"/>
  <c r="U76" i="45"/>
  <c r="Y76" i="45"/>
  <c r="AA76" i="45" s="1"/>
  <c r="W76" i="45"/>
  <c r="X76" i="45" s="1"/>
  <c r="AB76" i="45" s="1"/>
  <c r="U77" i="45"/>
  <c r="Y77" i="45"/>
  <c r="AA77" i="45" s="1"/>
  <c r="W77" i="45"/>
  <c r="X77" i="45" s="1"/>
  <c r="AB77" i="45" s="1"/>
  <c r="U78" i="45"/>
  <c r="Y78" i="45"/>
  <c r="AA78" i="45" s="1"/>
  <c r="W78" i="45"/>
  <c r="X78" i="45" s="1"/>
  <c r="AB78" i="45" s="1"/>
  <c r="U79" i="45"/>
  <c r="Y79" i="45"/>
  <c r="AA79" i="45" s="1"/>
  <c r="W79" i="45"/>
  <c r="X79" i="45" s="1"/>
  <c r="AB79" i="45" s="1"/>
  <c r="U80" i="45"/>
  <c r="Y80" i="45"/>
  <c r="AA80" i="45" s="1"/>
  <c r="W80" i="45"/>
  <c r="X80" i="45" s="1"/>
  <c r="AB80" i="45" s="1"/>
  <c r="U81" i="45"/>
  <c r="Y81" i="45"/>
  <c r="AA81" i="45" s="1"/>
  <c r="W81" i="45"/>
  <c r="X81" i="45" s="1"/>
  <c r="AB81" i="45" s="1"/>
  <c r="U82" i="45"/>
  <c r="Y82" i="45"/>
  <c r="AA82" i="45" s="1"/>
  <c r="W82" i="45"/>
  <c r="X82" i="45" s="1"/>
  <c r="AB82" i="45" s="1"/>
  <c r="D66" i="45"/>
  <c r="H66" i="45"/>
  <c r="J66" i="45" s="1"/>
  <c r="F66" i="45"/>
  <c r="G66" i="45" s="1"/>
  <c r="K66" i="45" s="1"/>
  <c r="D67" i="45"/>
  <c r="H67" i="45"/>
  <c r="J67" i="45" s="1"/>
  <c r="F67" i="45"/>
  <c r="G67" i="45" s="1"/>
  <c r="K67" i="45" s="1"/>
  <c r="D68" i="45"/>
  <c r="H68" i="45"/>
  <c r="J68" i="45" s="1"/>
  <c r="F68" i="45"/>
  <c r="G68" i="45" s="1"/>
  <c r="K68" i="45" s="1"/>
  <c r="D69" i="45"/>
  <c r="H69" i="45"/>
  <c r="J69" i="45" s="1"/>
  <c r="F69" i="45"/>
  <c r="G69" i="45" s="1"/>
  <c r="K69" i="45" s="1"/>
  <c r="D70" i="45"/>
  <c r="H70" i="45"/>
  <c r="J70" i="45" s="1"/>
  <c r="F70" i="45"/>
  <c r="G70" i="45" s="1"/>
  <c r="K70" i="45" s="1"/>
  <c r="D71" i="45"/>
  <c r="H71" i="45"/>
  <c r="J71" i="45" s="1"/>
  <c r="F71" i="45"/>
  <c r="G71" i="45" s="1"/>
  <c r="K71" i="45" s="1"/>
  <c r="D72" i="45"/>
  <c r="H72" i="45"/>
  <c r="J72" i="45" s="1"/>
  <c r="F72" i="45"/>
  <c r="G72" i="45" s="1"/>
  <c r="K72" i="45" s="1"/>
  <c r="D73" i="45"/>
  <c r="H73" i="45"/>
  <c r="J73" i="45" s="1"/>
  <c r="F73" i="45"/>
  <c r="G73" i="45" s="1"/>
  <c r="K73" i="45" s="1"/>
  <c r="D74" i="45"/>
  <c r="H74" i="45"/>
  <c r="J74" i="45" s="1"/>
  <c r="F74" i="45"/>
  <c r="G74" i="45" s="1"/>
  <c r="K74" i="45" s="1"/>
  <c r="D75" i="45"/>
  <c r="H75" i="45"/>
  <c r="J75" i="45" s="1"/>
  <c r="F75" i="45"/>
  <c r="G75" i="45" s="1"/>
  <c r="K75" i="45" s="1"/>
  <c r="D76" i="45"/>
  <c r="H76" i="45"/>
  <c r="J76" i="45" s="1"/>
  <c r="F76" i="45"/>
  <c r="G76" i="45" s="1"/>
  <c r="K76" i="45" s="1"/>
  <c r="F44" i="45"/>
  <c r="G44" i="45" s="1"/>
  <c r="K44" i="45" s="1"/>
  <c r="Y50" i="45"/>
  <c r="AA50" i="45" s="1"/>
  <c r="U69" i="45"/>
  <c r="U70" i="45"/>
  <c r="U71" i="45"/>
  <c r="U61" i="45"/>
  <c r="Y61" i="45"/>
  <c r="AA61" i="45" s="1"/>
  <c r="W61" i="45"/>
  <c r="U62" i="45"/>
  <c r="Y62" i="45"/>
  <c r="AA62" i="45" s="1"/>
  <c r="W62" i="45"/>
  <c r="X62" i="45" s="1"/>
  <c r="AB62" i="45" s="1"/>
  <c r="U63" i="45"/>
  <c r="Y63" i="45"/>
  <c r="AA63" i="45" s="1"/>
  <c r="W63" i="45"/>
  <c r="X63" i="45" s="1"/>
  <c r="AB63" i="45" s="1"/>
  <c r="AC63" i="45" s="1"/>
  <c r="U64" i="45"/>
  <c r="Y64" i="45"/>
  <c r="AA64" i="45" s="1"/>
  <c r="W64" i="45"/>
  <c r="X64" i="45" s="1"/>
  <c r="AB64" i="45" s="1"/>
  <c r="U65" i="45"/>
  <c r="Y65" i="45"/>
  <c r="AA65" i="45" s="1"/>
  <c r="W65" i="45"/>
  <c r="U66" i="45"/>
  <c r="Y66" i="45"/>
  <c r="AA66" i="45" s="1"/>
  <c r="W66" i="45"/>
  <c r="X66" i="45" s="1"/>
  <c r="AB66" i="45" s="1"/>
  <c r="U67" i="45"/>
  <c r="Y67" i="45"/>
  <c r="AA67" i="45" s="1"/>
  <c r="W67" i="45"/>
  <c r="X67" i="45" s="1"/>
  <c r="AB67" i="45" s="1"/>
  <c r="U68" i="45"/>
  <c r="Y68" i="45"/>
  <c r="AA68" i="45" s="1"/>
  <c r="W68" i="45"/>
  <c r="X68" i="45" s="1"/>
  <c r="AB68" i="45" s="1"/>
  <c r="Y69" i="45"/>
  <c r="AA69" i="45" s="1"/>
  <c r="W69" i="45"/>
  <c r="X69" i="45" s="1"/>
  <c r="AB69" i="45" s="1"/>
  <c r="Y70" i="45"/>
  <c r="AA70" i="45" s="1"/>
  <c r="W70" i="45"/>
  <c r="X70" i="45" s="1"/>
  <c r="AB70" i="45" s="1"/>
  <c r="Y71" i="45"/>
  <c r="AA71" i="45" s="1"/>
  <c r="W71" i="45"/>
  <c r="X71" i="45" s="1"/>
  <c r="AB71" i="45" s="1"/>
  <c r="X65" i="45"/>
  <c r="AB65" i="45" s="1"/>
  <c r="X61" i="45"/>
  <c r="AB61" i="45" s="1"/>
  <c r="D55" i="45"/>
  <c r="H55" i="45"/>
  <c r="J55" i="45" s="1"/>
  <c r="F55" i="45"/>
  <c r="G55" i="45" s="1"/>
  <c r="K55" i="45" s="1"/>
  <c r="D56" i="45"/>
  <c r="F56" i="45"/>
  <c r="G56" i="45" s="1"/>
  <c r="K56" i="45" s="1"/>
  <c r="D57" i="45"/>
  <c r="H57" i="45"/>
  <c r="J57" i="45" s="1"/>
  <c r="F57" i="45"/>
  <c r="G57" i="45" s="1"/>
  <c r="K57" i="45" s="1"/>
  <c r="D58" i="45"/>
  <c r="H58" i="45"/>
  <c r="J58" i="45" s="1"/>
  <c r="F58" i="45"/>
  <c r="G58" i="45" s="1"/>
  <c r="K58" i="45" s="1"/>
  <c r="D59" i="45"/>
  <c r="H59" i="45"/>
  <c r="J59" i="45" s="1"/>
  <c r="F59" i="45"/>
  <c r="G59" i="45" s="1"/>
  <c r="K59" i="45" s="1"/>
  <c r="D60" i="45"/>
  <c r="H60" i="45"/>
  <c r="J60" i="45" s="1"/>
  <c r="F60" i="45"/>
  <c r="G60" i="45" s="1"/>
  <c r="K60" i="45" s="1"/>
  <c r="D61" i="45"/>
  <c r="H61" i="45"/>
  <c r="J61" i="45" s="1"/>
  <c r="F61" i="45"/>
  <c r="G61" i="45" s="1"/>
  <c r="K61" i="45" s="1"/>
  <c r="D62" i="45"/>
  <c r="H62" i="45"/>
  <c r="J62" i="45" s="1"/>
  <c r="F62" i="45"/>
  <c r="G62" i="45" s="1"/>
  <c r="K62" i="45" s="1"/>
  <c r="L62" i="45" s="1"/>
  <c r="D63" i="45"/>
  <c r="H63" i="45"/>
  <c r="J63" i="45" s="1"/>
  <c r="F63" i="45"/>
  <c r="G63" i="45" s="1"/>
  <c r="K63" i="45" s="1"/>
  <c r="L63" i="45" s="1"/>
  <c r="D64" i="45"/>
  <c r="H64" i="45"/>
  <c r="J64" i="45" s="1"/>
  <c r="F64" i="45"/>
  <c r="G64" i="45" s="1"/>
  <c r="K64" i="45" s="1"/>
  <c r="D65" i="45"/>
  <c r="H65" i="45"/>
  <c r="J65" i="45" s="1"/>
  <c r="F65" i="45"/>
  <c r="G65" i="45" s="1"/>
  <c r="K65" i="45" s="1"/>
  <c r="D54" i="45"/>
  <c r="H54" i="45"/>
  <c r="J54" i="45" s="1"/>
  <c r="F54" i="45"/>
  <c r="G54" i="45" s="1"/>
  <c r="K54" i="45" s="1"/>
  <c r="H56" i="45"/>
  <c r="J56" i="45" s="1"/>
  <c r="F45" i="45"/>
  <c r="G45" i="45" s="1"/>
  <c r="K45" i="45" s="1"/>
  <c r="Y51" i="45"/>
  <c r="AA51" i="45" s="1"/>
  <c r="U52" i="45"/>
  <c r="Y52" i="45"/>
  <c r="U53" i="45"/>
  <c r="Y53" i="45"/>
  <c r="U54" i="45"/>
  <c r="Y54" i="45"/>
  <c r="U55" i="45"/>
  <c r="Y55" i="45"/>
  <c r="U56" i="45"/>
  <c r="Y56" i="45"/>
  <c r="AA56" i="45" s="1"/>
  <c r="U57" i="45"/>
  <c r="Y57" i="45"/>
  <c r="U58" i="45"/>
  <c r="Y58" i="45"/>
  <c r="U59" i="45"/>
  <c r="Y59" i="45"/>
  <c r="U60" i="45"/>
  <c r="Y60" i="45"/>
  <c r="U50" i="45"/>
  <c r="W50" i="45"/>
  <c r="X50" i="45" s="1"/>
  <c r="AB50" i="45" s="1"/>
  <c r="W51" i="45"/>
  <c r="X51" i="45" s="1"/>
  <c r="AB51" i="45" s="1"/>
  <c r="W52" i="45"/>
  <c r="X52" i="45" s="1"/>
  <c r="AB52" i="45" s="1"/>
  <c r="W53" i="45"/>
  <c r="X53" i="45" s="1"/>
  <c r="AB53" i="45" s="1"/>
  <c r="W54" i="45"/>
  <c r="W55" i="45"/>
  <c r="X55" i="45" s="1"/>
  <c r="AB55" i="45" s="1"/>
  <c r="W56" i="45"/>
  <c r="X56" i="45" s="1"/>
  <c r="AB56" i="45" s="1"/>
  <c r="W57" i="45"/>
  <c r="X57" i="45" s="1"/>
  <c r="AB57" i="45" s="1"/>
  <c r="AC57" i="45" s="1"/>
  <c r="W58" i="45"/>
  <c r="X58" i="45" s="1"/>
  <c r="AB58" i="45" s="1"/>
  <c r="AC58" i="45" s="1"/>
  <c r="W59" i="45"/>
  <c r="X59" i="45" s="1"/>
  <c r="AB59" i="45" s="1"/>
  <c r="W60" i="45"/>
  <c r="X60" i="45" s="1"/>
  <c r="AB60" i="45" s="1"/>
  <c r="X54" i="45"/>
  <c r="AB54" i="45" s="1"/>
  <c r="D44" i="45"/>
  <c r="H44" i="45"/>
  <c r="J44" i="45" s="1"/>
  <c r="D45" i="45"/>
  <c r="H45" i="45"/>
  <c r="J45" i="45" s="1"/>
  <c r="D46" i="45"/>
  <c r="H46" i="45"/>
  <c r="J46" i="45" s="1"/>
  <c r="D47" i="45"/>
  <c r="H47" i="45"/>
  <c r="J47" i="45" s="1"/>
  <c r="D48" i="45"/>
  <c r="H48" i="45"/>
  <c r="J48" i="45" s="1"/>
  <c r="D49" i="45"/>
  <c r="H49" i="45"/>
  <c r="J49" i="45" s="1"/>
  <c r="D50" i="45"/>
  <c r="H50" i="45"/>
  <c r="J50" i="45" s="1"/>
  <c r="D51" i="45"/>
  <c r="H51" i="45"/>
  <c r="J51" i="45" s="1"/>
  <c r="D52" i="45"/>
  <c r="H52" i="45"/>
  <c r="J52" i="45" s="1"/>
  <c r="D53" i="45"/>
  <c r="H53" i="45"/>
  <c r="J53" i="45" s="1"/>
  <c r="F46" i="45"/>
  <c r="G46" i="45" s="1"/>
  <c r="K46" i="45" s="1"/>
  <c r="F47" i="45"/>
  <c r="G47" i="45" s="1"/>
  <c r="K47" i="45" s="1"/>
  <c r="F48" i="45"/>
  <c r="G48" i="45" s="1"/>
  <c r="K48" i="45" s="1"/>
  <c r="F49" i="45"/>
  <c r="G49" i="45" s="1"/>
  <c r="K49" i="45" s="1"/>
  <c r="F50" i="45"/>
  <c r="G50" i="45" s="1"/>
  <c r="K50" i="45" s="1"/>
  <c r="F51" i="45"/>
  <c r="G51" i="45" s="1"/>
  <c r="K51" i="45" s="1"/>
  <c r="F52" i="45"/>
  <c r="G52" i="45" s="1"/>
  <c r="K52" i="45" s="1"/>
  <c r="F53" i="45"/>
  <c r="G53" i="45" s="1"/>
  <c r="K53" i="45" s="1"/>
  <c r="U41" i="45"/>
  <c r="U42" i="45"/>
  <c r="Y42" i="45"/>
  <c r="U43" i="45"/>
  <c r="Y43" i="45"/>
  <c r="U44" i="45"/>
  <c r="Y44" i="45"/>
  <c r="U45" i="45"/>
  <c r="Y45" i="45"/>
  <c r="U46" i="45"/>
  <c r="Y46" i="45"/>
  <c r="AA46" i="45" s="1"/>
  <c r="U47" i="45"/>
  <c r="U48" i="45"/>
  <c r="U49" i="45"/>
  <c r="Y49" i="45"/>
  <c r="W49" i="45"/>
  <c r="X49" i="45" s="1"/>
  <c r="AB49" i="45" s="1"/>
  <c r="W48" i="45"/>
  <c r="X48" i="45" s="1"/>
  <c r="AB48" i="45" s="1"/>
  <c r="W47" i="45"/>
  <c r="X47" i="45" s="1"/>
  <c r="AB47" i="45" s="1"/>
  <c r="W46" i="45"/>
  <c r="X46" i="45" s="1"/>
  <c r="AB46" i="45" s="1"/>
  <c r="W45" i="45"/>
  <c r="X45" i="45" s="1"/>
  <c r="AB45" i="45" s="1"/>
  <c r="H41" i="45"/>
  <c r="J41" i="45" s="1"/>
  <c r="H42" i="45"/>
  <c r="J42" i="45" s="1"/>
  <c r="H43" i="45"/>
  <c r="J43" i="45" s="1"/>
  <c r="D41" i="45"/>
  <c r="D42" i="45"/>
  <c r="D43" i="45"/>
  <c r="F41" i="45"/>
  <c r="G41" i="45" s="1"/>
  <c r="K41" i="45" s="1"/>
  <c r="F42" i="45"/>
  <c r="G42" i="45" s="1"/>
  <c r="K42" i="45" s="1"/>
  <c r="F43" i="45"/>
  <c r="G43" i="45" s="1"/>
  <c r="K43" i="45" s="1"/>
  <c r="U36" i="45"/>
  <c r="U37" i="45"/>
  <c r="U38" i="45"/>
  <c r="U39" i="45"/>
  <c r="U40" i="45"/>
  <c r="D32" i="45"/>
  <c r="D33" i="45"/>
  <c r="D34" i="45"/>
  <c r="D35" i="45"/>
  <c r="D36" i="45"/>
  <c r="D37" i="45"/>
  <c r="D38" i="45"/>
  <c r="D39" i="45"/>
  <c r="D40" i="45"/>
  <c r="U33" i="45"/>
  <c r="Y33" i="45"/>
  <c r="W33" i="45"/>
  <c r="X33" i="45" s="1"/>
  <c r="AB33" i="45" s="1"/>
  <c r="U34" i="45"/>
  <c r="Y34" i="45"/>
  <c r="AA34" i="45" s="1"/>
  <c r="W34" i="45"/>
  <c r="X34" i="45" s="1"/>
  <c r="AB34" i="45" s="1"/>
  <c r="U35" i="45"/>
  <c r="Y35" i="45"/>
  <c r="AA35" i="45" s="1"/>
  <c r="W35" i="45"/>
  <c r="X35" i="45" s="1"/>
  <c r="AB35" i="45" s="1"/>
  <c r="W36" i="45"/>
  <c r="X36" i="45" s="1"/>
  <c r="AB36" i="45" s="1"/>
  <c r="Y37" i="45"/>
  <c r="W37" i="45"/>
  <c r="X37" i="45" s="1"/>
  <c r="AB37" i="45" s="1"/>
  <c r="Y38" i="45"/>
  <c r="W38" i="45"/>
  <c r="X38" i="45" s="1"/>
  <c r="AB38" i="45" s="1"/>
  <c r="Y39" i="45"/>
  <c r="W39" i="45"/>
  <c r="X39" i="45" s="1"/>
  <c r="AB39" i="45" s="1"/>
  <c r="Y40" i="45"/>
  <c r="W40" i="45"/>
  <c r="X40" i="45" s="1"/>
  <c r="AB40" i="45" s="1"/>
  <c r="W41" i="45"/>
  <c r="W42" i="45"/>
  <c r="X42" i="45" s="1"/>
  <c r="AB42" i="45" s="1"/>
  <c r="W43" i="45"/>
  <c r="X43" i="45" s="1"/>
  <c r="AB43" i="45" s="1"/>
  <c r="W44" i="45"/>
  <c r="X44" i="45" s="1"/>
  <c r="AB44" i="45" s="1"/>
  <c r="U21" i="45"/>
  <c r="Y21" i="45"/>
  <c r="AA21" i="45" s="1"/>
  <c r="W21" i="45"/>
  <c r="X21" i="45" s="1"/>
  <c r="AB21" i="45" s="1"/>
  <c r="U22" i="45"/>
  <c r="Y22" i="45"/>
  <c r="AA22" i="45" s="1"/>
  <c r="W22" i="45"/>
  <c r="X22" i="45" s="1"/>
  <c r="AB22" i="45" s="1"/>
  <c r="AC22" i="45" s="1"/>
  <c r="U23" i="45"/>
  <c r="Y23" i="45"/>
  <c r="AA23" i="45" s="1"/>
  <c r="W23" i="45"/>
  <c r="X23" i="45" s="1"/>
  <c r="AB23" i="45" s="1"/>
  <c r="U24" i="45"/>
  <c r="Y24" i="45"/>
  <c r="AA24" i="45" s="1"/>
  <c r="W24" i="45"/>
  <c r="X24" i="45" s="1"/>
  <c r="AB24" i="45" s="1"/>
  <c r="AC24" i="45" s="1"/>
  <c r="U25" i="45"/>
  <c r="Y25" i="45"/>
  <c r="AA25" i="45" s="1"/>
  <c r="W25" i="45"/>
  <c r="X25" i="45" s="1"/>
  <c r="AB25" i="45" s="1"/>
  <c r="U26" i="45"/>
  <c r="Y26" i="45"/>
  <c r="AA26" i="45" s="1"/>
  <c r="W26" i="45"/>
  <c r="X26" i="45" s="1"/>
  <c r="AB26" i="45" s="1"/>
  <c r="AC26" i="45" s="1"/>
  <c r="U27" i="45"/>
  <c r="Y27" i="45"/>
  <c r="AA27" i="45" s="1"/>
  <c r="W27" i="45"/>
  <c r="X27" i="45" s="1"/>
  <c r="AB27" i="45" s="1"/>
  <c r="U28" i="45"/>
  <c r="Y28" i="45"/>
  <c r="AA28" i="45" s="1"/>
  <c r="W28" i="45"/>
  <c r="X28" i="45" s="1"/>
  <c r="AB28" i="45" s="1"/>
  <c r="U29" i="45"/>
  <c r="Y29" i="45"/>
  <c r="AA29" i="45" s="1"/>
  <c r="W29" i="45"/>
  <c r="X29" i="45" s="1"/>
  <c r="AB29" i="45" s="1"/>
  <c r="U30" i="45"/>
  <c r="Y30" i="45"/>
  <c r="W30" i="45"/>
  <c r="X30" i="45" s="1"/>
  <c r="AB30" i="45" s="1"/>
  <c r="U31" i="45"/>
  <c r="W31" i="45"/>
  <c r="X31" i="45" s="1"/>
  <c r="AB31" i="45" s="1"/>
  <c r="U32" i="45"/>
  <c r="W32" i="45"/>
  <c r="X32" i="45" s="1"/>
  <c r="AB32" i="45" s="1"/>
  <c r="X41" i="45"/>
  <c r="AB41" i="45" s="1"/>
  <c r="H28" i="45"/>
  <c r="J28" i="45" s="1"/>
  <c r="F28" i="45"/>
  <c r="G28" i="45" s="1"/>
  <c r="K28" i="45" s="1"/>
  <c r="H29" i="45"/>
  <c r="J29" i="45" s="1"/>
  <c r="F29" i="45"/>
  <c r="G29" i="45" s="1"/>
  <c r="K29" i="45" s="1"/>
  <c r="H30" i="45"/>
  <c r="J30" i="45" s="1"/>
  <c r="F30" i="45"/>
  <c r="G30" i="45" s="1"/>
  <c r="K30" i="45" s="1"/>
  <c r="F31" i="45"/>
  <c r="G31" i="45" s="1"/>
  <c r="K31" i="45" s="1"/>
  <c r="H32" i="45"/>
  <c r="F32" i="45"/>
  <c r="G32" i="45" s="1"/>
  <c r="K32" i="45" s="1"/>
  <c r="H33" i="45"/>
  <c r="F33" i="45"/>
  <c r="G33" i="45" s="1"/>
  <c r="K33" i="45" s="1"/>
  <c r="H34" i="45"/>
  <c r="F34" i="45"/>
  <c r="G34" i="45" s="1"/>
  <c r="K34" i="45" s="1"/>
  <c r="H35" i="45"/>
  <c r="F35" i="45"/>
  <c r="G35" i="45" s="1"/>
  <c r="K35" i="45" s="1"/>
  <c r="H36" i="45"/>
  <c r="F36" i="45"/>
  <c r="G36" i="45" s="1"/>
  <c r="K36" i="45" s="1"/>
  <c r="H37" i="45"/>
  <c r="F37" i="45"/>
  <c r="G37" i="45" s="1"/>
  <c r="K37" i="45" s="1"/>
  <c r="H38" i="45"/>
  <c r="F38" i="45"/>
  <c r="G38" i="45" s="1"/>
  <c r="K38" i="45" s="1"/>
  <c r="H39" i="45"/>
  <c r="F39" i="45"/>
  <c r="G39" i="45" s="1"/>
  <c r="K39" i="45" s="1"/>
  <c r="H40" i="45"/>
  <c r="F40" i="45"/>
  <c r="G40" i="45" s="1"/>
  <c r="K40" i="45" s="1"/>
  <c r="D28" i="45"/>
  <c r="D29" i="45"/>
  <c r="D30" i="45"/>
  <c r="D31" i="45"/>
  <c r="F27" i="45"/>
  <c r="G27" i="45" s="1"/>
  <c r="K27" i="45" s="1"/>
  <c r="H27" i="45"/>
  <c r="J27" i="45" s="1"/>
  <c r="D27" i="45"/>
  <c r="G26" i="45"/>
  <c r="K26" i="45" s="1"/>
  <c r="L26" i="45" s="1"/>
  <c r="H26" i="45"/>
  <c r="J26" i="45" s="1"/>
  <c r="D26" i="45"/>
  <c r="F25" i="45"/>
  <c r="G25" i="45" s="1"/>
  <c r="K25" i="45" s="1"/>
  <c r="H25" i="45"/>
  <c r="J25" i="45" s="1"/>
  <c r="D25" i="45"/>
  <c r="F24" i="45"/>
  <c r="G24" i="45" s="1"/>
  <c r="K24" i="45" s="1"/>
  <c r="H24" i="45"/>
  <c r="J24" i="45" s="1"/>
  <c r="D24" i="45"/>
  <c r="F23" i="45"/>
  <c r="G23" i="45" s="1"/>
  <c r="K23" i="45" s="1"/>
  <c r="H23" i="45"/>
  <c r="J23" i="45" s="1"/>
  <c r="D23" i="45"/>
  <c r="F22" i="45"/>
  <c r="G22" i="45" s="1"/>
  <c r="K22" i="45" s="1"/>
  <c r="H22" i="45"/>
  <c r="J22" i="45" s="1"/>
  <c r="D22" i="45"/>
  <c r="F21" i="45"/>
  <c r="G21" i="45" s="1"/>
  <c r="K21" i="45" s="1"/>
  <c r="H21" i="45"/>
  <c r="J21" i="45" s="1"/>
  <c r="D21" i="45"/>
  <c r="W20" i="45"/>
  <c r="X20" i="45" s="1"/>
  <c r="AB20" i="45" s="1"/>
  <c r="Y20" i="45"/>
  <c r="AA20" i="45" s="1"/>
  <c r="U20" i="45"/>
  <c r="F20" i="45"/>
  <c r="G20" i="45" s="1"/>
  <c r="K20" i="45" s="1"/>
  <c r="H20" i="45"/>
  <c r="J20" i="45" s="1"/>
  <c r="D20" i="45"/>
  <c r="W19" i="45"/>
  <c r="X19" i="45" s="1"/>
  <c r="AB19" i="45" s="1"/>
  <c r="Y19" i="45"/>
  <c r="AA19" i="45" s="1"/>
  <c r="U19" i="45"/>
  <c r="F19" i="45"/>
  <c r="G19" i="45" s="1"/>
  <c r="K19" i="45" s="1"/>
  <c r="H19" i="45"/>
  <c r="J19" i="45" s="1"/>
  <c r="D19" i="45"/>
  <c r="W18" i="45"/>
  <c r="X18" i="45" s="1"/>
  <c r="AB18" i="45" s="1"/>
  <c r="Y18" i="45"/>
  <c r="AA18" i="45" s="1"/>
  <c r="U18" i="45"/>
  <c r="F18" i="45"/>
  <c r="G18" i="45" s="1"/>
  <c r="K18" i="45" s="1"/>
  <c r="H18" i="45"/>
  <c r="J18" i="45" s="1"/>
  <c r="D18" i="45"/>
  <c r="W17" i="45"/>
  <c r="X17" i="45" s="1"/>
  <c r="AB17" i="45" s="1"/>
  <c r="Y17" i="45"/>
  <c r="AA17" i="45" s="1"/>
  <c r="U17" i="45"/>
  <c r="F17" i="45"/>
  <c r="G17" i="45" s="1"/>
  <c r="K17" i="45" s="1"/>
  <c r="H17" i="45"/>
  <c r="J17" i="45" s="1"/>
  <c r="D17" i="45"/>
  <c r="W16" i="45"/>
  <c r="X16" i="45" s="1"/>
  <c r="AB16" i="45" s="1"/>
  <c r="Y16" i="45"/>
  <c r="AA16" i="45" s="1"/>
  <c r="U16" i="45"/>
  <c r="F16" i="45"/>
  <c r="G16" i="45" s="1"/>
  <c r="K16" i="45" s="1"/>
  <c r="L16" i="45" s="1"/>
  <c r="H16" i="45"/>
  <c r="J16" i="45" s="1"/>
  <c r="D16" i="45"/>
  <c r="W15" i="45"/>
  <c r="X15" i="45" s="1"/>
  <c r="AB15" i="45" s="1"/>
  <c r="Y15" i="45"/>
  <c r="AA15" i="45" s="1"/>
  <c r="U15" i="45"/>
  <c r="F15" i="45"/>
  <c r="G15" i="45" s="1"/>
  <c r="K15" i="45" s="1"/>
  <c r="H15" i="45"/>
  <c r="J15" i="45" s="1"/>
  <c r="D15" i="45"/>
  <c r="W14" i="45"/>
  <c r="X14" i="45" s="1"/>
  <c r="AB14" i="45" s="1"/>
  <c r="AC14" i="45" s="1"/>
  <c r="Y14" i="45"/>
  <c r="AA14" i="45" s="1"/>
  <c r="U14" i="45"/>
  <c r="F14" i="45"/>
  <c r="G14" i="45" s="1"/>
  <c r="K14" i="45" s="1"/>
  <c r="H14" i="45"/>
  <c r="J14" i="45" s="1"/>
  <c r="D14" i="45"/>
  <c r="W13" i="45"/>
  <c r="X13" i="45" s="1"/>
  <c r="AB13" i="45" s="1"/>
  <c r="Y13" i="45"/>
  <c r="AA13" i="45" s="1"/>
  <c r="U13" i="45"/>
  <c r="F13" i="45"/>
  <c r="G13" i="45" s="1"/>
  <c r="K13" i="45" s="1"/>
  <c r="H13" i="45"/>
  <c r="J13" i="45" s="1"/>
  <c r="D13" i="45"/>
  <c r="W12" i="45"/>
  <c r="X12" i="45" s="1"/>
  <c r="AB12" i="45" s="1"/>
  <c r="AC12" i="45" s="1"/>
  <c r="Y12" i="45"/>
  <c r="AA12" i="45" s="1"/>
  <c r="U12" i="45"/>
  <c r="F12" i="45"/>
  <c r="G12" i="45" s="1"/>
  <c r="K12" i="45" s="1"/>
  <c r="H12" i="45"/>
  <c r="J12" i="45" s="1"/>
  <c r="D12" i="45"/>
  <c r="W11" i="45"/>
  <c r="X11" i="45" s="1"/>
  <c r="AB11" i="45" s="1"/>
  <c r="Y11" i="45"/>
  <c r="AA11" i="45" s="1"/>
  <c r="U11" i="45"/>
  <c r="G11" i="45"/>
  <c r="K11" i="45" s="1"/>
  <c r="H11" i="45"/>
  <c r="J11" i="45" s="1"/>
  <c r="D11" i="45"/>
  <c r="W10" i="45"/>
  <c r="X10" i="45" s="1"/>
  <c r="AB10" i="45" s="1"/>
  <c r="Y10" i="45"/>
  <c r="AA10" i="45" s="1"/>
  <c r="U10" i="45"/>
  <c r="F10" i="45"/>
  <c r="G10" i="45" s="1"/>
  <c r="K10" i="45" s="1"/>
  <c r="L10" i="45" s="1"/>
  <c r="H10" i="45"/>
  <c r="J10" i="45" s="1"/>
  <c r="D10" i="45"/>
  <c r="W9" i="45"/>
  <c r="X9" i="45" s="1"/>
  <c r="AB9" i="45" s="1"/>
  <c r="Y9" i="45"/>
  <c r="AA9" i="45" s="1"/>
  <c r="U9" i="45"/>
  <c r="F9" i="45"/>
  <c r="G9" i="45" s="1"/>
  <c r="K9" i="45" s="1"/>
  <c r="L9" i="45" s="1"/>
  <c r="H9" i="45"/>
  <c r="J9" i="45" s="1"/>
  <c r="D9" i="45"/>
  <c r="W8" i="45"/>
  <c r="X8" i="45" s="1"/>
  <c r="AB8" i="45" s="1"/>
  <c r="Y8" i="45"/>
  <c r="AA8" i="45" s="1"/>
  <c r="U8" i="45"/>
  <c r="G8" i="45"/>
  <c r="K8" i="45" s="1"/>
  <c r="H8" i="45"/>
  <c r="J8" i="45" s="1"/>
  <c r="D8" i="45"/>
  <c r="W7" i="45"/>
  <c r="X7" i="45" s="1"/>
  <c r="AB7" i="45" s="1"/>
  <c r="Y7" i="45"/>
  <c r="AA7" i="45" s="1"/>
  <c r="U7" i="45"/>
  <c r="G7" i="45"/>
  <c r="K7" i="45" s="1"/>
  <c r="H7" i="45"/>
  <c r="J7" i="45" s="1"/>
  <c r="D7" i="45"/>
  <c r="W6" i="45"/>
  <c r="X6" i="45" s="1"/>
  <c r="AB6" i="45" s="1"/>
  <c r="Y6" i="45"/>
  <c r="AA6" i="45" s="1"/>
  <c r="U6" i="45"/>
  <c r="F6" i="45"/>
  <c r="G6" i="45" s="1"/>
  <c r="K6" i="45" s="1"/>
  <c r="H6" i="45"/>
  <c r="J6" i="45" s="1"/>
  <c r="D6" i="45"/>
  <c r="W5" i="45"/>
  <c r="X5" i="45" s="1"/>
  <c r="AB5" i="45" s="1"/>
  <c r="Y5" i="45"/>
  <c r="AA5" i="45" s="1"/>
  <c r="U5" i="45"/>
  <c r="F5" i="45"/>
  <c r="G5" i="45" s="1"/>
  <c r="K5" i="45" s="1"/>
  <c r="H5" i="45"/>
  <c r="J5" i="45" s="1"/>
  <c r="D5" i="45"/>
  <c r="AA4" i="45"/>
  <c r="W4" i="45"/>
  <c r="X4" i="45" s="1"/>
  <c r="AB4" i="45" s="1"/>
  <c r="J4" i="45"/>
  <c r="F4" i="45"/>
  <c r="G4" i="45" s="1"/>
  <c r="K4" i="45" s="1"/>
  <c r="L6" i="44"/>
  <c r="V32" i="32"/>
  <c r="Y32" i="32" s="1"/>
  <c r="V33" i="32"/>
  <c r="Y33" i="32" s="1"/>
  <c r="AA33" i="32" s="1"/>
  <c r="V34" i="32"/>
  <c r="Y34" i="32" s="1"/>
  <c r="AA34" i="32" s="1"/>
  <c r="V35" i="32"/>
  <c r="Y35" i="32" s="1"/>
  <c r="AA35" i="32" s="1"/>
  <c r="V36" i="32"/>
  <c r="Y36" i="32" s="1"/>
  <c r="V37" i="32"/>
  <c r="Y37" i="32" s="1"/>
  <c r="V38" i="32"/>
  <c r="Y38" i="32" s="1"/>
  <c r="V39" i="32"/>
  <c r="Y39" i="32" s="1"/>
  <c r="AA39" i="32" s="1"/>
  <c r="V40" i="32"/>
  <c r="Y40" i="32" s="1"/>
  <c r="AA40" i="32" s="1"/>
  <c r="V41" i="32"/>
  <c r="Y41" i="32" s="1"/>
  <c r="AA41" i="32" s="1"/>
  <c r="V42" i="32"/>
  <c r="Y42" i="32" s="1"/>
  <c r="AA42" i="32" s="1"/>
  <c r="V43" i="32"/>
  <c r="Y43" i="32" s="1"/>
  <c r="AA43" i="32" s="1"/>
  <c r="V44" i="32"/>
  <c r="V45" i="32"/>
  <c r="Y45" i="32" s="1"/>
  <c r="AA45" i="32" s="1"/>
  <c r="V46" i="32"/>
  <c r="U33" i="32"/>
  <c r="U34" i="32"/>
  <c r="U35" i="32"/>
  <c r="U36" i="32"/>
  <c r="U37" i="32"/>
  <c r="U38" i="32"/>
  <c r="U39" i="32"/>
  <c r="U40" i="32"/>
  <c r="U41" i="32"/>
  <c r="U42" i="32"/>
  <c r="U43" i="32"/>
  <c r="U44" i="32"/>
  <c r="U45" i="32"/>
  <c r="U46" i="32"/>
  <c r="AC32" i="32"/>
  <c r="W39" i="32"/>
  <c r="W40" i="32"/>
  <c r="W41" i="32"/>
  <c r="W42" i="32"/>
  <c r="W43" i="32"/>
  <c r="W44" i="32"/>
  <c r="W45" i="32"/>
  <c r="W46" i="32"/>
  <c r="X39" i="32"/>
  <c r="X40" i="32"/>
  <c r="AB40" i="32" s="1"/>
  <c r="AC40" i="32" s="1"/>
  <c r="X41" i="32"/>
  <c r="X42" i="32"/>
  <c r="AB42" i="32" s="1"/>
  <c r="AC42" i="32" s="1"/>
  <c r="X43" i="32"/>
  <c r="X44" i="32"/>
  <c r="X45" i="32"/>
  <c r="X46" i="32"/>
  <c r="AB39" i="32"/>
  <c r="AB41" i="32"/>
  <c r="AB43" i="32"/>
  <c r="AB44" i="32"/>
  <c r="AB45" i="32"/>
  <c r="AC24" i="32" s="1"/>
  <c r="AB46" i="32"/>
  <c r="AC38" i="32" s="1"/>
  <c r="AC39" i="32"/>
  <c r="AC41" i="32"/>
  <c r="AC43" i="32"/>
  <c r="AC44" i="32"/>
  <c r="AC45" i="32"/>
  <c r="AC46" i="32"/>
  <c r="AD39" i="32"/>
  <c r="AE39" i="32" s="1"/>
  <c r="AD40" i="32"/>
  <c r="AD41" i="32"/>
  <c r="AE41" i="32" s="1"/>
  <c r="AD42" i="32"/>
  <c r="AD43" i="32"/>
  <c r="AE43" i="32" s="1"/>
  <c r="AD44" i="32"/>
  <c r="AE44" i="32" s="1"/>
  <c r="AD45" i="32"/>
  <c r="AE45" i="32" s="1"/>
  <c r="AD46" i="32"/>
  <c r="AE46" i="32" s="1"/>
  <c r="W32" i="32"/>
  <c r="X32" i="32" s="1"/>
  <c r="AB32" i="32" s="1"/>
  <c r="D37" i="32"/>
  <c r="D38" i="32"/>
  <c r="D39" i="32"/>
  <c r="D40" i="32"/>
  <c r="D41" i="32"/>
  <c r="D42" i="32"/>
  <c r="E35" i="32"/>
  <c r="H35" i="32" s="1"/>
  <c r="J35" i="32" s="1"/>
  <c r="E36" i="32"/>
  <c r="H36" i="32" s="1"/>
  <c r="J36" i="32" s="1"/>
  <c r="E37" i="32"/>
  <c r="H37" i="32" s="1"/>
  <c r="E38" i="32"/>
  <c r="H38" i="32" s="1"/>
  <c r="J38" i="32" s="1"/>
  <c r="E39" i="32"/>
  <c r="H39" i="32" s="1"/>
  <c r="E40" i="32"/>
  <c r="H40" i="32" s="1"/>
  <c r="E41" i="32"/>
  <c r="H41" i="32" s="1"/>
  <c r="E42" i="32"/>
  <c r="H42" i="32" s="1"/>
  <c r="D35" i="32"/>
  <c r="D36" i="32"/>
  <c r="F35" i="32"/>
  <c r="G35" i="32" s="1"/>
  <c r="K35" i="32" s="1"/>
  <c r="F36" i="32"/>
  <c r="F37" i="32"/>
  <c r="G37" i="32" s="1"/>
  <c r="K37" i="32" s="1"/>
  <c r="F38" i="32"/>
  <c r="F39" i="32"/>
  <c r="G39" i="32" s="1"/>
  <c r="K39" i="32" s="1"/>
  <c r="F40" i="32"/>
  <c r="G40" i="32" s="1"/>
  <c r="K40" i="32" s="1"/>
  <c r="F41" i="32"/>
  <c r="G41" i="32" s="1"/>
  <c r="K41" i="32" s="1"/>
  <c r="F42" i="32"/>
  <c r="G42" i="32" s="1"/>
  <c r="K42" i="32" s="1"/>
  <c r="G36" i="32"/>
  <c r="K36" i="32" s="1"/>
  <c r="G38" i="32"/>
  <c r="K38" i="32"/>
  <c r="X33" i="32"/>
  <c r="AB33" i="32" s="1"/>
  <c r="W34" i="32"/>
  <c r="X34" i="32" s="1"/>
  <c r="AB34" i="32" s="1"/>
  <c r="X35" i="32"/>
  <c r="AB35" i="32" s="1"/>
  <c r="W36" i="32"/>
  <c r="X36" i="32" s="1"/>
  <c r="AB36" i="32" s="1"/>
  <c r="W37" i="32"/>
  <c r="X37" i="32" s="1"/>
  <c r="AB37" i="32" s="1"/>
  <c r="W38" i="32"/>
  <c r="X38" i="32" s="1"/>
  <c r="AB38" i="32" s="1"/>
  <c r="E25" i="32"/>
  <c r="H25" i="32" s="1"/>
  <c r="J25" i="32" s="1"/>
  <c r="E26" i="32"/>
  <c r="H26" i="32" s="1"/>
  <c r="J26" i="32" s="1"/>
  <c r="E27" i="32"/>
  <c r="H27" i="32" s="1"/>
  <c r="J27" i="32" s="1"/>
  <c r="E28" i="32"/>
  <c r="H28" i="32" s="1"/>
  <c r="J28" i="32" s="1"/>
  <c r="E29" i="32"/>
  <c r="H29" i="32" s="1"/>
  <c r="J29" i="32" s="1"/>
  <c r="E30" i="32"/>
  <c r="H30" i="32" s="1"/>
  <c r="J30" i="32" s="1"/>
  <c r="E31" i="32"/>
  <c r="H31" i="32" s="1"/>
  <c r="J31" i="32" s="1"/>
  <c r="E32" i="32"/>
  <c r="H32" i="32" s="1"/>
  <c r="J32" i="32" s="1"/>
  <c r="E33" i="32"/>
  <c r="H33" i="32" s="1"/>
  <c r="J33" i="32" s="1"/>
  <c r="E34" i="32"/>
  <c r="H34" i="32" s="1"/>
  <c r="J34" i="32" s="1"/>
  <c r="D25" i="32"/>
  <c r="D26" i="32"/>
  <c r="D27" i="32"/>
  <c r="D28" i="32"/>
  <c r="D29" i="32"/>
  <c r="D30" i="32"/>
  <c r="D31" i="32"/>
  <c r="D32" i="32"/>
  <c r="D33" i="32"/>
  <c r="D34" i="32"/>
  <c r="F25" i="32"/>
  <c r="G25" i="32" s="1"/>
  <c r="K25" i="32" s="1"/>
  <c r="F26" i="32"/>
  <c r="G26" i="32" s="1"/>
  <c r="K26" i="32" s="1"/>
  <c r="L26" i="32" s="1"/>
  <c r="F27" i="32"/>
  <c r="G27" i="32" s="1"/>
  <c r="K27" i="32" s="1"/>
  <c r="F28" i="32"/>
  <c r="G28" i="32" s="1"/>
  <c r="K28" i="32" s="1"/>
  <c r="F29" i="32"/>
  <c r="G29" i="32" s="1"/>
  <c r="K29" i="32" s="1"/>
  <c r="F30" i="32"/>
  <c r="G30" i="32" s="1"/>
  <c r="K30" i="32" s="1"/>
  <c r="F31" i="32"/>
  <c r="G31" i="32" s="1"/>
  <c r="K31" i="32" s="1"/>
  <c r="F32" i="32"/>
  <c r="G32" i="32" s="1"/>
  <c r="K32" i="32" s="1"/>
  <c r="F33" i="32"/>
  <c r="G33" i="32" s="1"/>
  <c r="K33" i="32" s="1"/>
  <c r="F34" i="32"/>
  <c r="G34" i="32" s="1"/>
  <c r="K34" i="32" s="1"/>
  <c r="F12" i="32"/>
  <c r="G12" i="32" s="1"/>
  <c r="K12" i="32" s="1"/>
  <c r="V20" i="32"/>
  <c r="Y20" i="32" s="1"/>
  <c r="V21" i="32"/>
  <c r="Y21" i="32" s="1"/>
  <c r="V22" i="32"/>
  <c r="Y22" i="32" s="1"/>
  <c r="V23" i="32"/>
  <c r="Y23" i="32" s="1"/>
  <c r="V24" i="32"/>
  <c r="Y24" i="32" s="1"/>
  <c r="V25" i="32"/>
  <c r="Y25" i="32" s="1"/>
  <c r="V26" i="32"/>
  <c r="Y26" i="32" s="1"/>
  <c r="V27" i="32"/>
  <c r="Y27" i="32" s="1"/>
  <c r="V28" i="32"/>
  <c r="Y28" i="32" s="1"/>
  <c r="V29" i="32"/>
  <c r="Y29" i="32" s="1"/>
  <c r="V30" i="32"/>
  <c r="Y30" i="32" s="1"/>
  <c r="V31" i="32"/>
  <c r="Y31" i="32" s="1"/>
  <c r="V19" i="32"/>
  <c r="Y19" i="32" s="1"/>
  <c r="AA19" i="32" s="1"/>
  <c r="U20" i="32"/>
  <c r="U21" i="32"/>
  <c r="U22" i="32"/>
  <c r="U23" i="32"/>
  <c r="U24" i="32"/>
  <c r="U25" i="32"/>
  <c r="U26" i="32"/>
  <c r="U27" i="32"/>
  <c r="U28" i="32"/>
  <c r="U29" i="32"/>
  <c r="U30" i="32"/>
  <c r="U31" i="32"/>
  <c r="U32" i="32"/>
  <c r="U19" i="32"/>
  <c r="W19" i="32"/>
  <c r="X19" i="32" s="1"/>
  <c r="AB19" i="32" s="1"/>
  <c r="AC19" i="32" s="1"/>
  <c r="V17" i="32"/>
  <c r="Y17" i="32" s="1"/>
  <c r="V18" i="32"/>
  <c r="Y18" i="32" s="1"/>
  <c r="V16" i="32"/>
  <c r="Y16" i="32" s="1"/>
  <c r="AA16" i="32" s="1"/>
  <c r="U17" i="32"/>
  <c r="U18" i="32"/>
  <c r="U16" i="32"/>
  <c r="W16" i="32"/>
  <c r="X16" i="32" s="1"/>
  <c r="AB16" i="32" s="1"/>
  <c r="AC16" i="32" s="1"/>
  <c r="V15" i="32"/>
  <c r="Y15" i="32" s="1"/>
  <c r="AA15" i="32" s="1"/>
  <c r="V14" i="32"/>
  <c r="Y14" i="32" s="1"/>
  <c r="AA14" i="32" s="1"/>
  <c r="U15" i="32"/>
  <c r="U14" i="32"/>
  <c r="W14" i="32"/>
  <c r="X14" i="32" s="1"/>
  <c r="AB14" i="32" s="1"/>
  <c r="AC14" i="32" s="1"/>
  <c r="E19" i="32"/>
  <c r="H19" i="32" s="1"/>
  <c r="E20" i="32"/>
  <c r="H20" i="32" s="1"/>
  <c r="E21" i="32"/>
  <c r="H21" i="32" s="1"/>
  <c r="E22" i="32"/>
  <c r="H22" i="32" s="1"/>
  <c r="E23" i="32"/>
  <c r="H23" i="32" s="1"/>
  <c r="E24" i="32"/>
  <c r="H24" i="32" s="1"/>
  <c r="E18" i="32"/>
  <c r="H18" i="32" s="1"/>
  <c r="J18" i="32" s="1"/>
  <c r="D19" i="32"/>
  <c r="D20" i="32"/>
  <c r="D21" i="32"/>
  <c r="D22" i="32"/>
  <c r="D23" i="32"/>
  <c r="D24" i="32"/>
  <c r="D18" i="32"/>
  <c r="F18" i="32"/>
  <c r="G18" i="32" s="1"/>
  <c r="K18" i="32" s="1"/>
  <c r="L18" i="32" s="1"/>
  <c r="E17" i="32"/>
  <c r="H17" i="32" s="1"/>
  <c r="E16" i="32"/>
  <c r="H16" i="32" s="1"/>
  <c r="D17" i="32"/>
  <c r="D16" i="32"/>
  <c r="F16" i="32"/>
  <c r="G16" i="32" s="1"/>
  <c r="K16" i="32" s="1"/>
  <c r="L16" i="32" s="1"/>
  <c r="E15" i="32"/>
  <c r="H15" i="32" s="1"/>
  <c r="E14" i="32"/>
  <c r="D14" i="32"/>
  <c r="D15" i="32"/>
  <c r="F14" i="32"/>
  <c r="G14" i="32" s="1"/>
  <c r="K14" i="32" s="1"/>
  <c r="L14" i="32" s="1"/>
  <c r="V10" i="32"/>
  <c r="Y10" i="32" s="1"/>
  <c r="V11" i="32"/>
  <c r="Y11" i="32" s="1"/>
  <c r="V12" i="32"/>
  <c r="Y12" i="32" s="1"/>
  <c r="V13" i="32"/>
  <c r="Y13" i="32" s="1"/>
  <c r="V8" i="32"/>
  <c r="Y8" i="32" s="1"/>
  <c r="AA8" i="32" s="1"/>
  <c r="V9" i="32"/>
  <c r="Y9" i="32" s="1"/>
  <c r="U6" i="32"/>
  <c r="U7" i="32"/>
  <c r="U8" i="32"/>
  <c r="U9" i="32"/>
  <c r="U10" i="32"/>
  <c r="U11" i="32"/>
  <c r="U12" i="32"/>
  <c r="U13" i="32"/>
  <c r="W8" i="32"/>
  <c r="X8" i="32" s="1"/>
  <c r="AB8" i="32" s="1"/>
  <c r="AC8" i="32" s="1"/>
  <c r="W22" i="32"/>
  <c r="X22" i="32" s="1"/>
  <c r="AB22" i="32" s="1"/>
  <c r="AC22" i="32" s="1"/>
  <c r="W20" i="32"/>
  <c r="X20" i="32" s="1"/>
  <c r="AB20" i="32" s="1"/>
  <c r="W25" i="32"/>
  <c r="X25" i="32" s="1"/>
  <c r="AB25" i="32" s="1"/>
  <c r="W26" i="32"/>
  <c r="W27" i="32"/>
  <c r="W28" i="32"/>
  <c r="X28" i="32" s="1"/>
  <c r="AB28" i="32" s="1"/>
  <c r="W29" i="32"/>
  <c r="X29" i="32" s="1"/>
  <c r="AB29" i="32" s="1"/>
  <c r="W30" i="32"/>
  <c r="X30" i="32" s="1"/>
  <c r="AB30" i="32" s="1"/>
  <c r="X31" i="32"/>
  <c r="AB31" i="32" s="1"/>
  <c r="X26" i="32"/>
  <c r="AB26" i="32" s="1"/>
  <c r="AC26" i="32" s="1"/>
  <c r="X27" i="32"/>
  <c r="AB27" i="32" s="1"/>
  <c r="F22" i="32"/>
  <c r="G22" i="32" s="1"/>
  <c r="K22" i="32" s="1"/>
  <c r="F20" i="32"/>
  <c r="G20" i="32" s="1"/>
  <c r="K20" i="32" s="1"/>
  <c r="F17" i="32"/>
  <c r="G17" i="32" s="1"/>
  <c r="K17" i="32" s="1"/>
  <c r="F19" i="32"/>
  <c r="G19" i="32" s="1"/>
  <c r="K19" i="32" s="1"/>
  <c r="F21" i="32"/>
  <c r="G21" i="32" s="1"/>
  <c r="K21" i="32" s="1"/>
  <c r="F23" i="32"/>
  <c r="G23" i="32" s="1"/>
  <c r="K23" i="32" s="1"/>
  <c r="F24" i="32"/>
  <c r="G24" i="32" s="1"/>
  <c r="K24" i="32" s="1"/>
  <c r="W9" i="32"/>
  <c r="X9" i="32" s="1"/>
  <c r="AB9" i="32" s="1"/>
  <c r="AC9" i="32" s="1"/>
  <c r="V6" i="32"/>
  <c r="Y6" i="32" s="1"/>
  <c r="AA6" i="32" s="1"/>
  <c r="V7" i="32"/>
  <c r="Y7" i="32" s="1"/>
  <c r="AA7" i="32" s="1"/>
  <c r="V5" i="32"/>
  <c r="Y5" i="32" s="1"/>
  <c r="AA5" i="32" s="1"/>
  <c r="E6" i="32"/>
  <c r="H6" i="32" s="1"/>
  <c r="E7" i="32"/>
  <c r="H7" i="32" s="1"/>
  <c r="E8" i="32"/>
  <c r="E9" i="32"/>
  <c r="H9" i="32" s="1"/>
  <c r="J9" i="32" s="1"/>
  <c r="E10" i="32"/>
  <c r="H10" i="32" s="1"/>
  <c r="J10" i="32" s="1"/>
  <c r="E11" i="32"/>
  <c r="H11" i="32" s="1"/>
  <c r="E12" i="32"/>
  <c r="H12" i="32" s="1"/>
  <c r="E13" i="32"/>
  <c r="H13" i="32" s="1"/>
  <c r="E5" i="32"/>
  <c r="H5" i="32" s="1"/>
  <c r="J5" i="32" s="1"/>
  <c r="L17" i="44"/>
  <c r="L16" i="44"/>
  <c r="L15" i="44"/>
  <c r="L14" i="44"/>
  <c r="L13" i="44"/>
  <c r="L12" i="44"/>
  <c r="L11" i="44"/>
  <c r="L10" i="44"/>
  <c r="L9" i="44"/>
  <c r="L8" i="44"/>
  <c r="L7" i="44"/>
  <c r="L5" i="44"/>
  <c r="L4" i="44"/>
  <c r="L3" i="44"/>
  <c r="L2" i="44"/>
  <c r="F6" i="32"/>
  <c r="G6" i="32" s="1"/>
  <c r="K6" i="32" s="1"/>
  <c r="L6" i="32" s="1"/>
  <c r="G7" i="32"/>
  <c r="K7" i="32" s="1"/>
  <c r="G8" i="32"/>
  <c r="K8" i="32" s="1"/>
  <c r="L8" i="32" s="1"/>
  <c r="F9" i="32"/>
  <c r="G9" i="32" s="1"/>
  <c r="K9" i="32" s="1"/>
  <c r="F10" i="32"/>
  <c r="G10" i="32" s="1"/>
  <c r="K10" i="32" s="1"/>
  <c r="G11" i="32"/>
  <c r="K11" i="32" s="1"/>
  <c r="F13" i="32"/>
  <c r="G13" i="32" s="1"/>
  <c r="K13" i="32" s="1"/>
  <c r="F15" i="32"/>
  <c r="G15" i="32" s="1"/>
  <c r="K15" i="32" s="1"/>
  <c r="W6" i="32"/>
  <c r="X6" i="32" s="1"/>
  <c r="AB6" i="32" s="1"/>
  <c r="AC6" i="32" s="1"/>
  <c r="W7" i="32"/>
  <c r="X7" i="32" s="1"/>
  <c r="AB7" i="32" s="1"/>
  <c r="AC7" i="32" s="1"/>
  <c r="W10" i="32"/>
  <c r="X10" i="32" s="1"/>
  <c r="AB10" i="32" s="1"/>
  <c r="AC10" i="32" s="1"/>
  <c r="W11" i="32"/>
  <c r="X11" i="32" s="1"/>
  <c r="AB11" i="32" s="1"/>
  <c r="AC11" i="32" s="1"/>
  <c r="W12" i="32"/>
  <c r="X12" i="32" s="1"/>
  <c r="AB12" i="32" s="1"/>
  <c r="AC12" i="32" s="1"/>
  <c r="W13" i="32"/>
  <c r="X13" i="32" s="1"/>
  <c r="AB13" i="32" s="1"/>
  <c r="W15" i="32"/>
  <c r="X15" i="32" s="1"/>
  <c r="AB15" i="32" s="1"/>
  <c r="W17" i="32"/>
  <c r="X17" i="32" s="1"/>
  <c r="AB17" i="32" s="1"/>
  <c r="W18" i="32"/>
  <c r="X18" i="32" s="1"/>
  <c r="AB18" i="32" s="1"/>
  <c r="W21" i="32"/>
  <c r="X21" i="32" s="1"/>
  <c r="AB21" i="32" s="1"/>
  <c r="W23" i="32"/>
  <c r="X23" i="32" s="1"/>
  <c r="AB23" i="32" s="1"/>
  <c r="AC23" i="32" s="1"/>
  <c r="W24" i="32"/>
  <c r="X24" i="32" s="1"/>
  <c r="AB24" i="32" s="1"/>
  <c r="W5" i="32"/>
  <c r="X5" i="32" s="1"/>
  <c r="AB5" i="32" s="1"/>
  <c r="AC5" i="32" s="1"/>
  <c r="U4" i="32"/>
  <c r="U5" i="32"/>
  <c r="AA4" i="32"/>
  <c r="D5" i="32"/>
  <c r="D4" i="32"/>
  <c r="D6" i="32"/>
  <c r="D7" i="32"/>
  <c r="D8" i="32"/>
  <c r="D9" i="32"/>
  <c r="D10" i="32"/>
  <c r="D11" i="32"/>
  <c r="D12" i="32"/>
  <c r="D13" i="32"/>
  <c r="J4" i="32"/>
  <c r="F5" i="32"/>
  <c r="G5" i="32" s="1"/>
  <c r="K5" i="32" s="1"/>
  <c r="W4" i="32"/>
  <c r="F4" i="32"/>
  <c r="L92" i="46" l="1"/>
  <c r="AC91" i="46"/>
  <c r="L93" i="46"/>
  <c r="AC92" i="46"/>
  <c r="AC53" i="46"/>
  <c r="AC89" i="46"/>
  <c r="AC95" i="46"/>
  <c r="AC88" i="46"/>
  <c r="AC87" i="46"/>
  <c r="AC94" i="46"/>
  <c r="L82" i="46"/>
  <c r="L97" i="46"/>
  <c r="L71" i="46"/>
  <c r="L86" i="46"/>
  <c r="L91" i="46"/>
  <c r="L61" i="46"/>
  <c r="L89" i="46"/>
  <c r="L98" i="46"/>
  <c r="L95" i="46"/>
  <c r="L96" i="46"/>
  <c r="L51" i="46"/>
  <c r="L88" i="46"/>
  <c r="L44" i="46"/>
  <c r="L87" i="46"/>
  <c r="L94" i="46"/>
  <c r="L77" i="46"/>
  <c r="L72" i="46"/>
  <c r="AC86" i="46"/>
  <c r="AC67" i="46"/>
  <c r="AC82" i="46"/>
  <c r="AC84" i="46"/>
  <c r="AC80" i="46"/>
  <c r="AC77" i="46"/>
  <c r="AC81" i="46"/>
  <c r="AC75" i="46"/>
  <c r="AC90" i="46"/>
  <c r="AC76" i="46"/>
  <c r="L62" i="46"/>
  <c r="L75" i="46"/>
  <c r="L76" i="46"/>
  <c r="L74" i="46"/>
  <c r="L85" i="46"/>
  <c r="L69" i="46"/>
  <c r="L84" i="46"/>
  <c r="L80" i="46"/>
  <c r="L83" i="46"/>
  <c r="L81" i="46"/>
  <c r="L73" i="46"/>
  <c r="L79" i="46"/>
  <c r="L78" i="46"/>
  <c r="AC25" i="46"/>
  <c r="AC74" i="46"/>
  <c r="AC71" i="46"/>
  <c r="AC69" i="46"/>
  <c r="L70" i="46"/>
  <c r="AC66" i="46"/>
  <c r="L63" i="46"/>
  <c r="AC60" i="46"/>
  <c r="AC73" i="46"/>
  <c r="AC65" i="46"/>
  <c r="AC59" i="46"/>
  <c r="AC72" i="46"/>
  <c r="AC64" i="46"/>
  <c r="AC78" i="46"/>
  <c r="L67" i="46"/>
  <c r="L64" i="46"/>
  <c r="L66" i="46"/>
  <c r="L68" i="46"/>
  <c r="L65" i="46"/>
  <c r="AC11" i="46"/>
  <c r="L5" i="46"/>
  <c r="L6" i="46"/>
  <c r="L7" i="46"/>
  <c r="L11" i="46"/>
  <c r="L10" i="46"/>
  <c r="L19" i="46"/>
  <c r="AC58" i="46"/>
  <c r="AC62" i="46"/>
  <c r="AC61" i="46"/>
  <c r="AC21" i="46"/>
  <c r="AC19" i="46"/>
  <c r="AC13" i="46"/>
  <c r="AC15" i="46"/>
  <c r="AC36" i="46"/>
  <c r="AC63" i="46"/>
  <c r="AC23" i="46"/>
  <c r="L25" i="46"/>
  <c r="L60" i="46"/>
  <c r="L56" i="46"/>
  <c r="L18" i="46"/>
  <c r="L54" i="46"/>
  <c r="L42" i="46"/>
  <c r="L57" i="46"/>
  <c r="L46" i="46"/>
  <c r="L12" i="46"/>
  <c r="L50" i="46"/>
  <c r="L23" i="46"/>
  <c r="L59" i="46"/>
  <c r="L14" i="46"/>
  <c r="L52" i="46"/>
  <c r="L16" i="46"/>
  <c r="L53" i="46"/>
  <c r="L21" i="46"/>
  <c r="L58" i="46"/>
  <c r="L9" i="46"/>
  <c r="L55" i="46"/>
  <c r="L49" i="46"/>
  <c r="AC5" i="46"/>
  <c r="AC49" i="46"/>
  <c r="AC10" i="46"/>
  <c r="AC9" i="46"/>
  <c r="AC8" i="46"/>
  <c r="AC50" i="46"/>
  <c r="AC7" i="46"/>
  <c r="AC44" i="46"/>
  <c r="AC4" i="46"/>
  <c r="AC43" i="46"/>
  <c r="AC52" i="46"/>
  <c r="AC6" i="46"/>
  <c r="AC42" i="46"/>
  <c r="AC46" i="46"/>
  <c r="AC17" i="46"/>
  <c r="AC54" i="46"/>
  <c r="AC40" i="46"/>
  <c r="AC55" i="46"/>
  <c r="AC47" i="46"/>
  <c r="L48" i="46"/>
  <c r="L47" i="46"/>
  <c r="L45" i="46"/>
  <c r="L43" i="46"/>
  <c r="AC48" i="46"/>
  <c r="AC45" i="46"/>
  <c r="AC39" i="46"/>
  <c r="AC38" i="46"/>
  <c r="AC51" i="46"/>
  <c r="L35" i="46"/>
  <c r="L38" i="46"/>
  <c r="L40" i="46"/>
  <c r="L39" i="46"/>
  <c r="L36" i="46"/>
  <c r="L37" i="46"/>
  <c r="L41" i="46"/>
  <c r="AC34" i="46"/>
  <c r="L29" i="46"/>
  <c r="AC35" i="46"/>
  <c r="AC28" i="46"/>
  <c r="AC33" i="46"/>
  <c r="L20" i="46"/>
  <c r="L27" i="46"/>
  <c r="AC14" i="46"/>
  <c r="L31" i="46"/>
  <c r="AC32" i="46"/>
  <c r="L28" i="46"/>
  <c r="L32" i="46"/>
  <c r="L33" i="46"/>
  <c r="L24" i="46"/>
  <c r="AC31" i="46"/>
  <c r="L30" i="46"/>
  <c r="AC29" i="46"/>
  <c r="L22" i="46"/>
  <c r="AC27" i="46"/>
  <c r="AA23" i="46"/>
  <c r="L34" i="46"/>
  <c r="L26" i="46"/>
  <c r="Y19" i="46"/>
  <c r="AA19" i="46" s="1"/>
  <c r="AC37" i="46"/>
  <c r="AC30" i="46"/>
  <c r="Y17" i="46"/>
  <c r="AA17" i="46" s="1"/>
  <c r="AC18" i="46"/>
  <c r="AC16" i="46"/>
  <c r="AC26" i="46"/>
  <c r="AC20" i="46"/>
  <c r="AA18" i="46"/>
  <c r="AA20" i="46"/>
  <c r="AA22" i="46"/>
  <c r="AA24" i="46"/>
  <c r="AA51" i="46"/>
  <c r="AA33" i="46"/>
  <c r="AA45" i="46"/>
  <c r="AA48" i="46"/>
  <c r="AA34" i="46"/>
  <c r="AA30" i="46"/>
  <c r="AA28" i="46"/>
  <c r="AA25" i="46"/>
  <c r="AA53" i="46"/>
  <c r="AA16" i="46"/>
  <c r="AC24" i="46"/>
  <c r="AA52" i="46"/>
  <c r="AA31" i="46"/>
  <c r="AA32" i="46"/>
  <c r="AA26" i="46"/>
  <c r="AA46" i="46"/>
  <c r="AA29" i="46"/>
  <c r="AA21" i="46"/>
  <c r="AC12" i="46"/>
  <c r="AC22" i="46"/>
  <c r="J21" i="46"/>
  <c r="J16" i="46"/>
  <c r="J43" i="46"/>
  <c r="J20" i="46"/>
  <c r="J29" i="46"/>
  <c r="H12" i="46"/>
  <c r="J12" i="46" s="1"/>
  <c r="J40" i="46"/>
  <c r="J26" i="46"/>
  <c r="J44" i="46"/>
  <c r="J22" i="46"/>
  <c r="J30" i="46"/>
  <c r="L13" i="46"/>
  <c r="J39" i="46"/>
  <c r="J25" i="46"/>
  <c r="J13" i="46"/>
  <c r="J32" i="46"/>
  <c r="J24" i="46"/>
  <c r="J34" i="46"/>
  <c r="J17" i="46"/>
  <c r="J35" i="46"/>
  <c r="J38" i="46"/>
  <c r="J19" i="46"/>
  <c r="J41" i="46"/>
  <c r="J37" i="46"/>
  <c r="J31" i="46"/>
  <c r="J27" i="46"/>
  <c r="J23" i="46"/>
  <c r="J36" i="46"/>
  <c r="J33" i="46"/>
  <c r="L15" i="46"/>
  <c r="L8" i="46"/>
  <c r="L4" i="46"/>
  <c r="L29" i="45"/>
  <c r="AC44" i="45"/>
  <c r="AC99" i="45"/>
  <c r="AC49" i="45"/>
  <c r="AC100" i="45"/>
  <c r="AC60" i="45"/>
  <c r="AC82" i="45"/>
  <c r="AC91" i="45"/>
  <c r="AC71" i="45"/>
  <c r="AC101" i="45"/>
  <c r="AC41" i="45"/>
  <c r="AC96" i="45"/>
  <c r="AC64" i="45"/>
  <c r="AC40" i="45"/>
  <c r="AC45" i="45"/>
  <c r="AC74" i="45"/>
  <c r="AC46" i="45"/>
  <c r="AC38" i="45"/>
  <c r="AC43" i="45"/>
  <c r="AC47" i="45"/>
  <c r="AC53" i="45"/>
  <c r="AC90" i="45"/>
  <c r="AC51" i="45"/>
  <c r="AC50" i="45"/>
  <c r="AC67" i="45"/>
  <c r="AC95" i="45"/>
  <c r="AC76" i="45"/>
  <c r="AC78" i="45"/>
  <c r="AC39" i="45"/>
  <c r="AC79" i="45"/>
  <c r="AC83" i="45"/>
  <c r="AC75" i="45"/>
  <c r="AC97" i="45"/>
  <c r="AC42" i="45"/>
  <c r="AC37" i="45"/>
  <c r="AC54" i="45"/>
  <c r="AC65" i="45"/>
  <c r="AC87" i="45"/>
  <c r="AC98" i="45"/>
  <c r="AC56" i="45"/>
  <c r="AC72" i="45"/>
  <c r="AC93" i="45"/>
  <c r="AC48" i="45"/>
  <c r="AC59" i="45"/>
  <c r="AC52" i="45"/>
  <c r="AC68" i="45"/>
  <c r="AC80" i="45"/>
  <c r="AC89" i="45"/>
  <c r="AC92" i="45"/>
  <c r="L65" i="45"/>
  <c r="AC70" i="45"/>
  <c r="AC81" i="45"/>
  <c r="AC85" i="45"/>
  <c r="AC69" i="45"/>
  <c r="AC62" i="45"/>
  <c r="AC84" i="45"/>
  <c r="L40" i="45"/>
  <c r="AC73" i="45"/>
  <c r="AC86" i="45"/>
  <c r="AC94" i="45"/>
  <c r="L87" i="45"/>
  <c r="L94" i="45"/>
  <c r="L97" i="45"/>
  <c r="L88" i="45"/>
  <c r="L24" i="45"/>
  <c r="L90" i="45"/>
  <c r="L89" i="45"/>
  <c r="L23" i="45"/>
  <c r="L93" i="45"/>
  <c r="L92" i="45"/>
  <c r="L43" i="45"/>
  <c r="L91" i="45"/>
  <c r="L76" i="45"/>
  <c r="L98" i="45"/>
  <c r="L96" i="45"/>
  <c r="L54" i="45"/>
  <c r="L95" i="45"/>
  <c r="L73" i="45"/>
  <c r="L83" i="45"/>
  <c r="L72" i="45"/>
  <c r="AC88" i="45"/>
  <c r="L86" i="45"/>
  <c r="L79" i="45"/>
  <c r="L77" i="45"/>
  <c r="L78" i="45"/>
  <c r="L82" i="45"/>
  <c r="L81" i="45"/>
  <c r="L80" i="45"/>
  <c r="L45" i="45"/>
  <c r="L85" i="45"/>
  <c r="L84" i="45"/>
  <c r="AC77" i="45"/>
  <c r="L66" i="45"/>
  <c r="L75" i="45"/>
  <c r="L71" i="45"/>
  <c r="L68" i="45"/>
  <c r="L70" i="45"/>
  <c r="L69" i="45"/>
  <c r="L67" i="45"/>
  <c r="L74" i="45"/>
  <c r="AC61" i="45"/>
  <c r="L55" i="45"/>
  <c r="AA55" i="45"/>
  <c r="AA54" i="45"/>
  <c r="AA57" i="45"/>
  <c r="AA53" i="45"/>
  <c r="AC66" i="45"/>
  <c r="L61" i="45"/>
  <c r="L60" i="45"/>
  <c r="L59" i="45"/>
  <c r="L58" i="45"/>
  <c r="L57" i="45"/>
  <c r="L64" i="45"/>
  <c r="L56" i="45"/>
  <c r="AA60" i="45"/>
  <c r="AA52" i="45"/>
  <c r="U51" i="45"/>
  <c r="AA59" i="45"/>
  <c r="AA58" i="45"/>
  <c r="AC55" i="45"/>
  <c r="L44" i="45"/>
  <c r="L50" i="45"/>
  <c r="L41" i="45"/>
  <c r="L53" i="45"/>
  <c r="L52" i="45"/>
  <c r="L51" i="45"/>
  <c r="L49" i="45"/>
  <c r="L48" i="45"/>
  <c r="L47" i="45"/>
  <c r="L46" i="45"/>
  <c r="Y48" i="45"/>
  <c r="AA48" i="45" s="1"/>
  <c r="Y47" i="45"/>
  <c r="AA47" i="45" s="1"/>
  <c r="AA45" i="45"/>
  <c r="AA49" i="45"/>
  <c r="AA39" i="45"/>
  <c r="AA44" i="45"/>
  <c r="AA42" i="45"/>
  <c r="Y41" i="45"/>
  <c r="AA41" i="45" s="1"/>
  <c r="L42" i="45"/>
  <c r="AA38" i="45"/>
  <c r="AA37" i="45"/>
  <c r="Y36" i="45"/>
  <c r="AA36" i="45" s="1"/>
  <c r="AA43" i="45"/>
  <c r="AC36" i="45"/>
  <c r="AC28" i="45"/>
  <c r="AC35" i="45"/>
  <c r="AC25" i="45"/>
  <c r="L31" i="45"/>
  <c r="J39" i="45"/>
  <c r="J35" i="45"/>
  <c r="J38" i="45"/>
  <c r="J34" i="45"/>
  <c r="J36" i="45"/>
  <c r="J33" i="45"/>
  <c r="H31" i="45"/>
  <c r="J31" i="45" s="1"/>
  <c r="J37" i="45"/>
  <c r="J40" i="45"/>
  <c r="J32" i="45"/>
  <c r="AC31" i="45"/>
  <c r="AC34" i="45"/>
  <c r="Y32" i="45"/>
  <c r="AA32" i="45" s="1"/>
  <c r="AA30" i="45"/>
  <c r="AA40" i="45"/>
  <c r="Y31" i="45"/>
  <c r="AA31" i="45" s="1"/>
  <c r="AA33" i="45"/>
  <c r="AC30" i="45"/>
  <c r="AC21" i="45"/>
  <c r="AC33" i="45"/>
  <c r="AC32" i="45"/>
  <c r="AC23" i="45"/>
  <c r="AC15" i="45"/>
  <c r="AC29" i="45"/>
  <c r="AC27" i="45"/>
  <c r="AC20" i="45"/>
  <c r="L22" i="45"/>
  <c r="L28" i="45"/>
  <c r="L13" i="45"/>
  <c r="L4" i="45"/>
  <c r="L17" i="45"/>
  <c r="L6" i="45"/>
  <c r="AC11" i="45"/>
  <c r="AC18" i="45"/>
  <c r="AC7" i="45"/>
  <c r="L37" i="45"/>
  <c r="L12" i="45"/>
  <c r="L27" i="45"/>
  <c r="AC9" i="45"/>
  <c r="L35" i="45"/>
  <c r="AC13" i="45"/>
  <c r="L20" i="45"/>
  <c r="L33" i="45"/>
  <c r="L18" i="45"/>
  <c r="L32" i="45"/>
  <c r="L8" i="45"/>
  <c r="AC5" i="45"/>
  <c r="L25" i="45"/>
  <c r="L36" i="45"/>
  <c r="L11" i="45"/>
  <c r="L39" i="45"/>
  <c r="L34" i="45"/>
  <c r="L21" i="45"/>
  <c r="AC19" i="45"/>
  <c r="AC4" i="45"/>
  <c r="L7" i="45"/>
  <c r="L19" i="45"/>
  <c r="AC8" i="45"/>
  <c r="AC10" i="45"/>
  <c r="L30" i="45"/>
  <c r="L5" i="45"/>
  <c r="L15" i="45"/>
  <c r="L38" i="45"/>
  <c r="AC16" i="45"/>
  <c r="AC6" i="45"/>
  <c r="AC17" i="45"/>
  <c r="L14" i="45"/>
  <c r="J41" i="32"/>
  <c r="J40" i="32"/>
  <c r="Y44" i="32"/>
  <c r="AA44" i="32" s="1"/>
  <c r="Y46" i="32"/>
  <c r="AA46" i="32" s="1"/>
  <c r="AE42" i="32"/>
  <c r="AE40" i="32"/>
  <c r="J37" i="32"/>
  <c r="J39" i="32"/>
  <c r="J42" i="32"/>
  <c r="L23" i="32"/>
  <c r="L38" i="32"/>
  <c r="L39" i="32"/>
  <c r="L24" i="32"/>
  <c r="AA38" i="32"/>
  <c r="AA37" i="32"/>
  <c r="L34" i="32"/>
  <c r="L36" i="32"/>
  <c r="L41" i="32"/>
  <c r="L40" i="32"/>
  <c r="L35" i="32"/>
  <c r="L42" i="32"/>
  <c r="L27" i="32"/>
  <c r="L37" i="32"/>
  <c r="AA36" i="32"/>
  <c r="AC36" i="32"/>
  <c r="AC34" i="32"/>
  <c r="AC35" i="32"/>
  <c r="AC30" i="32"/>
  <c r="AC33" i="32"/>
  <c r="AC37" i="32"/>
  <c r="L25" i="32"/>
  <c r="L30" i="32"/>
  <c r="L33" i="32"/>
  <c r="L32" i="32"/>
  <c r="L31" i="32"/>
  <c r="L20" i="32"/>
  <c r="L22" i="32"/>
  <c r="L29" i="32"/>
  <c r="AA27" i="32"/>
  <c r="AC20" i="32"/>
  <c r="AC15" i="32"/>
  <c r="J16" i="32"/>
  <c r="H14" i="32"/>
  <c r="J14" i="32" s="1"/>
  <c r="L17" i="32"/>
  <c r="AA9" i="32"/>
  <c r="AA22" i="32"/>
  <c r="AA26" i="32"/>
  <c r="AA29" i="32"/>
  <c r="AA31" i="32"/>
  <c r="AC18" i="32"/>
  <c r="AA28" i="32"/>
  <c r="AA25" i="32"/>
  <c r="AA20" i="32"/>
  <c r="AA18" i="32"/>
  <c r="AC25" i="32"/>
  <c r="AC27" i="32"/>
  <c r="AA32" i="32"/>
  <c r="AC29" i="32"/>
  <c r="AA30" i="32"/>
  <c r="AC21" i="32"/>
  <c r="AC31" i="32"/>
  <c r="J22" i="32"/>
  <c r="J20" i="32"/>
  <c r="J24" i="32"/>
  <c r="J17" i="32"/>
  <c r="J23" i="32"/>
  <c r="J12" i="32"/>
  <c r="AA11" i="32"/>
  <c r="AA24" i="32"/>
  <c r="AA10" i="32"/>
  <c r="AA12" i="32"/>
  <c r="AA23" i="32"/>
  <c r="AA21" i="32"/>
  <c r="AA13" i="32"/>
  <c r="J21" i="32"/>
  <c r="H8" i="32"/>
  <c r="J8" i="32" s="1"/>
  <c r="J19" i="32"/>
  <c r="J13" i="32"/>
  <c r="AA17" i="32"/>
  <c r="J11" i="32"/>
  <c r="J7" i="32"/>
  <c r="J15" i="32"/>
  <c r="J6" i="32"/>
  <c r="L12" i="32"/>
  <c r="L10" i="32"/>
  <c r="L21" i="32"/>
  <c r="AD92" i="46" l="1"/>
  <c r="AE92" i="46" s="1"/>
  <c r="AD93" i="46"/>
  <c r="AE93" i="46" s="1"/>
  <c r="AD95" i="46"/>
  <c r="AE95" i="46" s="1"/>
  <c r="AD94" i="46"/>
  <c r="AE94" i="46" s="1"/>
  <c r="AD81" i="46"/>
  <c r="AE81" i="46" s="1"/>
  <c r="AD89" i="46"/>
  <c r="AE89" i="46" s="1"/>
  <c r="AD88" i="46"/>
  <c r="AE88" i="46" s="1"/>
  <c r="AD82" i="46"/>
  <c r="AE82" i="46" s="1"/>
  <c r="AD90" i="46"/>
  <c r="AE90" i="46" s="1"/>
  <c r="AD83" i="46"/>
  <c r="AE83" i="46" s="1"/>
  <c r="AD84" i="46"/>
  <c r="AE84" i="46" s="1"/>
  <c r="AD91" i="46"/>
  <c r="AE91" i="46" s="1"/>
  <c r="AD85" i="46"/>
  <c r="AD80" i="46"/>
  <c r="AE80" i="46" s="1"/>
  <c r="AD86" i="46"/>
  <c r="AE86" i="46" s="1"/>
  <c r="AD87" i="46"/>
  <c r="AE87" i="46" s="1"/>
  <c r="AD75" i="46"/>
  <c r="AE75" i="46" s="1"/>
  <c r="AD74" i="46"/>
  <c r="AE74" i="46" s="1"/>
  <c r="AD71" i="46"/>
  <c r="AE71" i="46" s="1"/>
  <c r="AD69" i="46"/>
  <c r="AE69" i="46" s="1"/>
  <c r="AD66" i="46"/>
  <c r="AE66" i="46" s="1"/>
  <c r="AD65" i="46"/>
  <c r="AE65" i="46" s="1"/>
  <c r="AD73" i="46"/>
  <c r="AE73" i="46" s="1"/>
  <c r="AD78" i="46"/>
  <c r="AE78" i="46" s="1"/>
  <c r="AD76" i="46"/>
  <c r="AE76" i="46" s="1"/>
  <c r="AD79" i="46"/>
  <c r="AE79" i="46" s="1"/>
  <c r="AD68" i="46"/>
  <c r="AE68" i="46" s="1"/>
  <c r="AD64" i="46"/>
  <c r="AE64" i="46" s="1"/>
  <c r="AD72" i="46"/>
  <c r="AE72" i="46" s="1"/>
  <c r="AD77" i="46"/>
  <c r="AE77" i="46" s="1"/>
  <c r="AD70" i="46"/>
  <c r="AD67" i="46"/>
  <c r="AE67" i="46" s="1"/>
  <c r="AD60" i="46"/>
  <c r="AE60" i="46" s="1"/>
  <c r="AD62" i="46"/>
  <c r="AE62" i="46" s="1"/>
  <c r="AD61" i="46"/>
  <c r="AE61" i="46" s="1"/>
  <c r="AD63" i="46"/>
  <c r="AE63" i="46" s="1"/>
  <c r="AD49" i="46"/>
  <c r="AE49" i="46" s="1"/>
  <c r="AD50" i="46"/>
  <c r="AE50" i="46" s="1"/>
  <c r="AD44" i="46"/>
  <c r="AE44" i="46" s="1"/>
  <c r="AD43" i="46"/>
  <c r="AE43" i="46" s="1"/>
  <c r="AD42" i="46"/>
  <c r="AE42" i="46" s="1"/>
  <c r="AD41" i="46"/>
  <c r="AE41" i="46" s="1"/>
  <c r="AD55" i="46"/>
  <c r="AE55" i="46" s="1"/>
  <c r="AD59" i="46"/>
  <c r="AE59" i="46" s="1"/>
  <c r="AD58" i="46"/>
  <c r="AE58" i="46" s="1"/>
  <c r="AD54" i="46"/>
  <c r="AE54" i="46" s="1"/>
  <c r="AD57" i="46"/>
  <c r="AD56" i="46"/>
  <c r="AE56" i="46" s="1"/>
  <c r="AD47" i="46"/>
  <c r="AE47" i="46" s="1"/>
  <c r="AD40" i="46"/>
  <c r="AE40" i="46" s="1"/>
  <c r="AD36" i="46"/>
  <c r="AE36" i="46" s="1"/>
  <c r="AD17" i="46"/>
  <c r="AE17" i="46" s="1"/>
  <c r="AD15" i="46"/>
  <c r="AE15" i="46" s="1"/>
  <c r="AD13" i="46"/>
  <c r="AE13" i="46" s="1"/>
  <c r="AD31" i="46"/>
  <c r="AE31" i="46" s="1"/>
  <c r="AD32" i="46"/>
  <c r="AE32" i="46" s="1"/>
  <c r="AD5" i="46"/>
  <c r="AE5" i="46" s="1"/>
  <c r="AD28" i="46"/>
  <c r="AE28" i="46" s="1"/>
  <c r="AD30" i="46"/>
  <c r="AE30" i="46" s="1"/>
  <c r="AD18" i="46"/>
  <c r="AE18" i="46" s="1"/>
  <c r="AD26" i="46"/>
  <c r="AE26" i="46" s="1"/>
  <c r="AD53" i="46"/>
  <c r="AE53" i="46" s="1"/>
  <c r="AD39" i="46"/>
  <c r="AE39" i="46" s="1"/>
  <c r="AD46" i="46"/>
  <c r="AE46" i="46" s="1"/>
  <c r="AD23" i="46"/>
  <c r="AE23" i="46" s="1"/>
  <c r="AD33" i="46"/>
  <c r="AE33" i="46" s="1"/>
  <c r="AD8" i="46"/>
  <c r="AE8" i="46" s="1"/>
  <c r="AD37" i="46"/>
  <c r="AE37" i="46" s="1"/>
  <c r="AD20" i="46"/>
  <c r="AE20" i="46" s="1"/>
  <c r="AD34" i="46"/>
  <c r="AE34" i="46" s="1"/>
  <c r="AD14" i="46"/>
  <c r="AE14" i="46" s="1"/>
  <c r="AD16" i="46"/>
  <c r="AE16" i="46" s="1"/>
  <c r="AD6" i="46"/>
  <c r="AE6" i="46" s="1"/>
  <c r="AD27" i="46"/>
  <c r="AE27" i="46" s="1"/>
  <c r="AD29" i="46"/>
  <c r="AE29" i="46" s="1"/>
  <c r="AD7" i="46"/>
  <c r="AE7" i="46" s="1"/>
  <c r="AD21" i="46"/>
  <c r="AE21" i="46" s="1"/>
  <c r="AD25" i="46"/>
  <c r="AE25" i="46" s="1"/>
  <c r="AD10" i="46"/>
  <c r="AE10" i="46" s="1"/>
  <c r="AD22" i="46"/>
  <c r="AE22" i="46" s="1"/>
  <c r="AD24" i="46"/>
  <c r="AE24" i="46" s="1"/>
  <c r="AD11" i="46"/>
  <c r="AE11" i="46" s="1"/>
  <c r="AD51" i="46"/>
  <c r="AE51" i="46" s="1"/>
  <c r="AD9" i="46"/>
  <c r="AE9" i="46" s="1"/>
  <c r="AD19" i="46"/>
  <c r="AE19" i="46" s="1"/>
  <c r="AD52" i="46"/>
  <c r="AE52" i="46" s="1"/>
  <c r="AD4" i="46"/>
  <c r="AE4" i="46" s="1"/>
  <c r="AD12" i="46"/>
  <c r="AE12" i="46" s="1"/>
  <c r="AD45" i="46"/>
  <c r="AE45" i="46" s="1"/>
  <c r="AD48" i="46"/>
  <c r="AE48" i="46" s="1"/>
  <c r="AD35" i="46"/>
  <c r="AE35" i="46" s="1"/>
  <c r="AD38" i="46"/>
  <c r="AE38" i="46" s="1"/>
  <c r="AD101" i="45"/>
  <c r="AE101" i="45" s="1"/>
  <c r="AD100" i="45"/>
  <c r="AE100" i="45" s="1"/>
  <c r="AD92" i="45"/>
  <c r="AE92" i="45" s="1"/>
  <c r="AD93" i="45"/>
  <c r="AE93" i="45" s="1"/>
  <c r="AD94" i="45"/>
  <c r="AE94" i="45" s="1"/>
  <c r="AD95" i="45"/>
  <c r="AE95" i="45" s="1"/>
  <c r="AD96" i="45"/>
  <c r="AE96" i="45" s="1"/>
  <c r="AD97" i="45"/>
  <c r="AE97" i="45" s="1"/>
  <c r="AD98" i="45"/>
  <c r="AE98" i="45" s="1"/>
  <c r="AD99" i="45"/>
  <c r="AE99" i="45" s="1"/>
  <c r="M91" i="45"/>
  <c r="N91" i="45" s="1"/>
  <c r="M96" i="45"/>
  <c r="N96" i="45" s="1"/>
  <c r="M90" i="45"/>
  <c r="N90" i="45" s="1"/>
  <c r="M92" i="45"/>
  <c r="N92" i="45" s="1"/>
  <c r="M89" i="45"/>
  <c r="N89" i="45" s="1"/>
  <c r="M93" i="45"/>
  <c r="N93" i="45" s="1"/>
  <c r="M97" i="45"/>
  <c r="N97" i="45" s="1"/>
  <c r="M94" i="45"/>
  <c r="N94" i="45" s="1"/>
  <c r="M98" i="45"/>
  <c r="N98" i="45" s="1"/>
  <c r="M95" i="45"/>
  <c r="N95" i="45" s="1"/>
  <c r="M88" i="45"/>
  <c r="N88" i="45" s="1"/>
  <c r="AD83" i="45"/>
  <c r="AE83" i="45" s="1"/>
  <c r="AD84" i="45"/>
  <c r="AE84" i="45" s="1"/>
  <c r="AD85" i="45"/>
  <c r="AE85" i="45" s="1"/>
  <c r="AD91" i="45"/>
  <c r="AE91" i="45" s="1"/>
  <c r="AD86" i="45"/>
  <c r="AE86" i="45" s="1"/>
  <c r="AD87" i="45"/>
  <c r="AE87" i="45" s="1"/>
  <c r="AD88" i="45"/>
  <c r="AE88" i="45" s="1"/>
  <c r="AD89" i="45"/>
  <c r="AE89" i="45" s="1"/>
  <c r="AD90" i="45"/>
  <c r="AE90" i="45" s="1"/>
  <c r="M77" i="45"/>
  <c r="N77" i="45" s="1"/>
  <c r="M78" i="45"/>
  <c r="N78" i="45" s="1"/>
  <c r="M80" i="45"/>
  <c r="N80" i="45" s="1"/>
  <c r="M84" i="45"/>
  <c r="N84" i="45" s="1"/>
  <c r="M79" i="45"/>
  <c r="N79" i="45" s="1"/>
  <c r="M83" i="45"/>
  <c r="N83" i="45" s="1"/>
  <c r="M81" i="45"/>
  <c r="N81" i="45" s="1"/>
  <c r="M86" i="45"/>
  <c r="N86" i="45" s="1"/>
  <c r="M87" i="45"/>
  <c r="N87" i="45" s="1"/>
  <c r="M82" i="45"/>
  <c r="N82" i="45" s="1"/>
  <c r="M85" i="45"/>
  <c r="N85" i="45" s="1"/>
  <c r="AD77" i="45"/>
  <c r="AE77" i="45" s="1"/>
  <c r="AD78" i="45"/>
  <c r="AE78" i="45" s="1"/>
  <c r="AD79" i="45"/>
  <c r="AE79" i="45" s="1"/>
  <c r="AD81" i="45"/>
  <c r="AE81" i="45" s="1"/>
  <c r="AD72" i="45"/>
  <c r="AE72" i="45" s="1"/>
  <c r="AD80" i="45"/>
  <c r="AE80" i="45" s="1"/>
  <c r="AD73" i="45"/>
  <c r="AE73" i="45" s="1"/>
  <c r="AD74" i="45"/>
  <c r="AE74" i="45" s="1"/>
  <c r="AD82" i="45"/>
  <c r="AE82" i="45" s="1"/>
  <c r="AD75" i="45"/>
  <c r="AE75" i="45" s="1"/>
  <c r="AD76" i="45"/>
  <c r="AE76" i="45" s="1"/>
  <c r="M69" i="45"/>
  <c r="N69" i="45" s="1"/>
  <c r="M70" i="45"/>
  <c r="N70" i="45" s="1"/>
  <c r="M73" i="45"/>
  <c r="N73" i="45" s="1"/>
  <c r="M71" i="45"/>
  <c r="N71" i="45" s="1"/>
  <c r="M74" i="45"/>
  <c r="N74" i="45" s="1"/>
  <c r="M72" i="45"/>
  <c r="N72" i="45" s="1"/>
  <c r="M66" i="45"/>
  <c r="N66" i="45" s="1"/>
  <c r="M67" i="45"/>
  <c r="N67" i="45" s="1"/>
  <c r="M75" i="45"/>
  <c r="N75" i="45" s="1"/>
  <c r="M68" i="45"/>
  <c r="N68" i="45" s="1"/>
  <c r="M76" i="45"/>
  <c r="N76" i="45" s="1"/>
  <c r="AD67" i="45"/>
  <c r="AE67" i="45" s="1"/>
  <c r="AD70" i="45"/>
  <c r="AE70" i="45" s="1"/>
  <c r="AD69" i="45"/>
  <c r="AE69" i="45" s="1"/>
  <c r="AD62" i="45"/>
  <c r="AE62" i="45" s="1"/>
  <c r="AD64" i="45"/>
  <c r="AE64" i="45" s="1"/>
  <c r="AD66" i="45"/>
  <c r="AE66" i="45" s="1"/>
  <c r="AD68" i="45"/>
  <c r="AE68" i="45" s="1"/>
  <c r="AD61" i="45"/>
  <c r="AE61" i="45" s="1"/>
  <c r="AD63" i="45"/>
  <c r="AE63" i="45" s="1"/>
  <c r="AD71" i="45"/>
  <c r="AE71" i="45" s="1"/>
  <c r="AD65" i="45"/>
  <c r="AE65" i="45" s="1"/>
  <c r="M58" i="45"/>
  <c r="N58" i="45" s="1"/>
  <c r="M65" i="45"/>
  <c r="N65" i="45" s="1"/>
  <c r="M64" i="45"/>
  <c r="N64" i="45" s="1"/>
  <c r="M63" i="45"/>
  <c r="N63" i="45" s="1"/>
  <c r="M59" i="45"/>
  <c r="N59" i="45" s="1"/>
  <c r="M60" i="45"/>
  <c r="N60" i="45" s="1"/>
  <c r="M61" i="45"/>
  <c r="N61" i="45" s="1"/>
  <c r="M62" i="45"/>
  <c r="N62" i="45" s="1"/>
  <c r="M55" i="45"/>
  <c r="N55" i="45" s="1"/>
  <c r="M57" i="45"/>
  <c r="N57" i="45" s="1"/>
  <c r="M56" i="45"/>
  <c r="N56" i="45" s="1"/>
  <c r="M46" i="45"/>
  <c r="N46" i="45" s="1"/>
  <c r="M43" i="45"/>
  <c r="N43" i="45" s="1"/>
  <c r="AD51" i="45"/>
  <c r="AE51" i="45" s="1"/>
  <c r="AD59" i="45"/>
  <c r="AE59" i="45" s="1"/>
  <c r="AD52" i="45"/>
  <c r="AE52" i="45" s="1"/>
  <c r="AD60" i="45"/>
  <c r="AE60" i="45" s="1"/>
  <c r="AD53" i="45"/>
  <c r="AE53" i="45" s="1"/>
  <c r="AD54" i="45"/>
  <c r="AE54" i="45" s="1"/>
  <c r="AD58" i="45"/>
  <c r="AE58" i="45" s="1"/>
  <c r="AD55" i="45"/>
  <c r="AE55" i="45" s="1"/>
  <c r="AD56" i="45"/>
  <c r="AE56" i="45" s="1"/>
  <c r="AD57" i="45"/>
  <c r="AE57" i="45" s="1"/>
  <c r="AD50" i="45"/>
  <c r="AE50" i="45" s="1"/>
  <c r="M51" i="45"/>
  <c r="N51" i="45" s="1"/>
  <c r="M52" i="45"/>
  <c r="N52" i="45" s="1"/>
  <c r="M44" i="45"/>
  <c r="N44" i="45" s="1"/>
  <c r="M42" i="45"/>
  <c r="N42" i="45" s="1"/>
  <c r="M48" i="45"/>
  <c r="N48" i="45" s="1"/>
  <c r="M41" i="45"/>
  <c r="N41" i="45" s="1"/>
  <c r="M45" i="45"/>
  <c r="N45" i="45" s="1"/>
  <c r="M53" i="45"/>
  <c r="N53" i="45" s="1"/>
  <c r="M49" i="45"/>
  <c r="N49" i="45" s="1"/>
  <c r="M50" i="45"/>
  <c r="N50" i="45" s="1"/>
  <c r="M54" i="45"/>
  <c r="N54" i="45" s="1"/>
  <c r="M47" i="45"/>
  <c r="N47" i="45" s="1"/>
  <c r="AD49" i="45"/>
  <c r="AE49" i="45" s="1"/>
  <c r="AD48" i="45"/>
  <c r="AE48" i="45" s="1"/>
  <c r="AD47" i="45"/>
  <c r="AE47" i="45" s="1"/>
  <c r="AD46" i="45"/>
  <c r="AE46" i="45" s="1"/>
  <c r="AD45" i="45"/>
  <c r="AE45" i="45" s="1"/>
  <c r="AD21" i="45"/>
  <c r="AE21" i="45" s="1"/>
  <c r="AD28" i="45"/>
  <c r="AE28" i="45" s="1"/>
  <c r="AD42" i="45"/>
  <c r="AE42" i="45" s="1"/>
  <c r="AD22" i="45"/>
  <c r="AE22" i="45" s="1"/>
  <c r="AD29" i="45"/>
  <c r="AE29" i="45" s="1"/>
  <c r="AD35" i="45"/>
  <c r="AE35" i="45" s="1"/>
  <c r="AD36" i="45"/>
  <c r="AE36" i="45" s="1"/>
  <c r="AD38" i="45"/>
  <c r="AE38" i="45" s="1"/>
  <c r="AD40" i="45"/>
  <c r="AE40" i="45" s="1"/>
  <c r="AD44" i="45"/>
  <c r="AE44" i="45" s="1"/>
  <c r="AD23" i="45"/>
  <c r="AE23" i="45" s="1"/>
  <c r="AD30" i="45"/>
  <c r="AE30" i="45" s="1"/>
  <c r="AD24" i="45"/>
  <c r="AE24" i="45" s="1"/>
  <c r="AD31" i="45"/>
  <c r="AE31" i="45" s="1"/>
  <c r="AD43" i="45"/>
  <c r="AE43" i="45" s="1"/>
  <c r="AD25" i="45"/>
  <c r="AE25" i="45" s="1"/>
  <c r="AD32" i="45"/>
  <c r="AE32" i="45" s="1"/>
  <c r="AD34" i="45"/>
  <c r="AE34" i="45" s="1"/>
  <c r="AD26" i="45"/>
  <c r="AE26" i="45" s="1"/>
  <c r="AD33" i="45"/>
  <c r="AE33" i="45" s="1"/>
  <c r="AD37" i="45"/>
  <c r="AE37" i="45" s="1"/>
  <c r="AD39" i="45"/>
  <c r="AE39" i="45" s="1"/>
  <c r="AD41" i="45"/>
  <c r="AE41" i="45" s="1"/>
  <c r="AD27" i="45"/>
  <c r="AE27" i="45" s="1"/>
  <c r="AD7" i="45"/>
  <c r="AE7" i="45" s="1"/>
  <c r="M30" i="45"/>
  <c r="N30" i="45" s="1"/>
  <c r="M28" i="45"/>
  <c r="N28" i="45" s="1"/>
  <c r="M20" i="45"/>
  <c r="N20" i="45" s="1"/>
  <c r="M12" i="45"/>
  <c r="N12" i="45" s="1"/>
  <c r="M5" i="45"/>
  <c r="N5" i="45" s="1"/>
  <c r="M10" i="45"/>
  <c r="N10" i="45" s="1"/>
  <c r="M23" i="45"/>
  <c r="N23" i="45" s="1"/>
  <c r="M15" i="45"/>
  <c r="N15" i="45" s="1"/>
  <c r="M26" i="45"/>
  <c r="N26" i="45" s="1"/>
  <c r="M18" i="45"/>
  <c r="N18" i="45" s="1"/>
  <c r="M13" i="45"/>
  <c r="N13" i="45" s="1"/>
  <c r="M40" i="45"/>
  <c r="N40" i="45" s="1"/>
  <c r="M38" i="45"/>
  <c r="N38" i="45" s="1"/>
  <c r="M36" i="45"/>
  <c r="N36" i="45" s="1"/>
  <c r="M34" i="45"/>
  <c r="N34" i="45" s="1"/>
  <c r="M21" i="45"/>
  <c r="N21" i="45" s="1"/>
  <c r="M8" i="45"/>
  <c r="N8" i="45" s="1"/>
  <c r="M6" i="45"/>
  <c r="N6" i="45" s="1"/>
  <c r="M4" i="45"/>
  <c r="N4" i="45" s="1"/>
  <c r="M31" i="45"/>
  <c r="N31" i="45" s="1"/>
  <c r="M29" i="45"/>
  <c r="N29" i="45" s="1"/>
  <c r="M24" i="45"/>
  <c r="N24" i="45" s="1"/>
  <c r="M16" i="45"/>
  <c r="N16" i="45" s="1"/>
  <c r="M33" i="45"/>
  <c r="N33" i="45" s="1"/>
  <c r="M22" i="45"/>
  <c r="N22" i="45" s="1"/>
  <c r="M14" i="45"/>
  <c r="N14" i="45" s="1"/>
  <c r="M9" i="45"/>
  <c r="N9" i="45" s="1"/>
  <c r="M39" i="45"/>
  <c r="N39" i="45" s="1"/>
  <c r="M37" i="45"/>
  <c r="N37" i="45" s="1"/>
  <c r="M35" i="45"/>
  <c r="N35" i="45" s="1"/>
  <c r="M27" i="45"/>
  <c r="N27" i="45" s="1"/>
  <c r="M7" i="45"/>
  <c r="N7" i="45" s="1"/>
  <c r="M11" i="45"/>
  <c r="N11" i="45" s="1"/>
  <c r="M25" i="45"/>
  <c r="N25" i="45" s="1"/>
  <c r="M17" i="45"/>
  <c r="N17" i="45" s="1"/>
  <c r="M19" i="45"/>
  <c r="N19" i="45" s="1"/>
  <c r="M32" i="45"/>
  <c r="N32" i="45" s="1"/>
  <c r="AD18" i="45"/>
  <c r="AE18" i="45" s="1"/>
  <c r="AD13" i="45"/>
  <c r="AE13" i="45" s="1"/>
  <c r="AD6" i="45"/>
  <c r="AE6" i="45" s="1"/>
  <c r="AD8" i="45"/>
  <c r="AE8" i="45" s="1"/>
  <c r="AD16" i="45"/>
  <c r="AE16" i="45" s="1"/>
  <c r="AD4" i="45"/>
  <c r="AE4" i="45" s="1"/>
  <c r="AD19" i="45"/>
  <c r="AE19" i="45" s="1"/>
  <c r="AD11" i="45"/>
  <c r="AE11" i="45" s="1"/>
  <c r="AD14" i="45"/>
  <c r="AE14" i="45" s="1"/>
  <c r="AD20" i="45"/>
  <c r="AE20" i="45" s="1"/>
  <c r="AD12" i="45"/>
  <c r="AE12" i="45" s="1"/>
  <c r="AD5" i="45"/>
  <c r="AE5" i="45" s="1"/>
  <c r="AD15" i="45"/>
  <c r="AE15" i="45" s="1"/>
  <c r="AD10" i="45"/>
  <c r="AE10" i="45" s="1"/>
  <c r="AD17" i="45"/>
  <c r="AE17" i="45" s="1"/>
  <c r="AD9" i="45"/>
  <c r="AE9" i="45" s="1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E2" i="44"/>
  <c r="AM24" i="45" l="1"/>
  <c r="AM16" i="45"/>
  <c r="AM27" i="45"/>
  <c r="AM19" i="45"/>
  <c r="AM11" i="45"/>
  <c r="AM4" i="45"/>
  <c r="AM22" i="45"/>
  <c r="AM14" i="45"/>
  <c r="AM9" i="45"/>
  <c r="AM7" i="45"/>
  <c r="AM25" i="45"/>
  <c r="AM17" i="45"/>
  <c r="AM20" i="45"/>
  <c r="AM26" i="45"/>
  <c r="AM18" i="45"/>
  <c r="AM5" i="45"/>
  <c r="AM6" i="45"/>
  <c r="AM10" i="45"/>
  <c r="AM21" i="45"/>
  <c r="AM12" i="45"/>
  <c r="AM13" i="45"/>
  <c r="AM23" i="45"/>
  <c r="AM8" i="45"/>
  <c r="AM15" i="45"/>
  <c r="J193" i="34"/>
  <c r="J192" i="34"/>
  <c r="X4" i="32"/>
  <c r="AB4" i="32" s="1"/>
  <c r="AC28" i="32" s="1"/>
  <c r="G4" i="32"/>
  <c r="K4" i="32" s="1"/>
  <c r="L28" i="32" s="1"/>
  <c r="AC17" i="32" l="1"/>
  <c r="AC13" i="32"/>
  <c r="L15" i="32"/>
  <c r="L19" i="32"/>
  <c r="L7" i="32"/>
  <c r="L13" i="32"/>
  <c r="L5" i="32"/>
  <c r="L11" i="32"/>
  <c r="L9" i="32"/>
  <c r="AC4" i="32"/>
  <c r="L4" i="32"/>
  <c r="M39" i="32" l="1"/>
  <c r="N39" i="32" s="1"/>
  <c r="M40" i="32"/>
  <c r="N40" i="32" s="1"/>
  <c r="M35" i="32"/>
  <c r="N35" i="32" s="1"/>
  <c r="M41" i="32"/>
  <c r="N41" i="32" s="1"/>
  <c r="M36" i="32"/>
  <c r="N36" i="32" s="1"/>
  <c r="M42" i="32"/>
  <c r="N42" i="32" s="1"/>
  <c r="M37" i="32"/>
  <c r="N37" i="32" s="1"/>
  <c r="M38" i="32"/>
  <c r="N38" i="32" s="1"/>
  <c r="AD33" i="32"/>
  <c r="AE33" i="32" s="1"/>
  <c r="AD34" i="32"/>
  <c r="AE34" i="32" s="1"/>
  <c r="AD35" i="32"/>
  <c r="AE35" i="32" s="1"/>
  <c r="AD36" i="32"/>
  <c r="AE36" i="32" s="1"/>
  <c r="AD38" i="32"/>
  <c r="AE38" i="32" s="1"/>
  <c r="AD37" i="32"/>
  <c r="AE37" i="32" s="1"/>
  <c r="M31" i="32"/>
  <c r="N31" i="32" s="1"/>
  <c r="M25" i="32"/>
  <c r="N25" i="32" s="1"/>
  <c r="M30" i="32"/>
  <c r="N30" i="32" s="1"/>
  <c r="M33" i="32"/>
  <c r="N33" i="32" s="1"/>
  <c r="M26" i="32"/>
  <c r="N26" i="32" s="1"/>
  <c r="M27" i="32"/>
  <c r="N27" i="32" s="1"/>
  <c r="M34" i="32"/>
  <c r="N34" i="32" s="1"/>
  <c r="M32" i="32"/>
  <c r="N32" i="32" s="1"/>
  <c r="M28" i="32"/>
  <c r="N28" i="32" s="1"/>
  <c r="M29" i="32"/>
  <c r="N29" i="32" s="1"/>
  <c r="AD16" i="32"/>
  <c r="AE16" i="32" s="1"/>
  <c r="AD19" i="32"/>
  <c r="AE19" i="32" s="1"/>
  <c r="M18" i="32"/>
  <c r="N18" i="32" s="1"/>
  <c r="AD14" i="32"/>
  <c r="AE14" i="32" s="1"/>
  <c r="M14" i="32"/>
  <c r="N14" i="32" s="1"/>
  <c r="M16" i="32"/>
  <c r="N16" i="32" s="1"/>
  <c r="AD8" i="32"/>
  <c r="AE8" i="32" s="1"/>
  <c r="AD22" i="32"/>
  <c r="AE22" i="32" s="1"/>
  <c r="AD29" i="32"/>
  <c r="AE29" i="32" s="1"/>
  <c r="AD30" i="32"/>
  <c r="AE30" i="32" s="1"/>
  <c r="AD31" i="32"/>
  <c r="AE31" i="32" s="1"/>
  <c r="AD32" i="32"/>
  <c r="AE32" i="32" s="1"/>
  <c r="AD28" i="32"/>
  <c r="AE28" i="32" s="1"/>
  <c r="AD25" i="32"/>
  <c r="AE25" i="32" s="1"/>
  <c r="AD26" i="32"/>
  <c r="AE26" i="32" s="1"/>
  <c r="AD20" i="32"/>
  <c r="AE20" i="32" s="1"/>
  <c r="AD27" i="32"/>
  <c r="AE27" i="32" s="1"/>
  <c r="M20" i="32"/>
  <c r="N20" i="32" s="1"/>
  <c r="M22" i="32"/>
  <c r="N22" i="32" s="1"/>
  <c r="AD9" i="32"/>
  <c r="AE9" i="32" s="1"/>
  <c r="M24" i="32"/>
  <c r="N24" i="32" s="1"/>
  <c r="M17" i="32"/>
  <c r="N17" i="32" s="1"/>
  <c r="M10" i="32"/>
  <c r="N10" i="32" s="1"/>
  <c r="M12" i="32"/>
  <c r="N12" i="32" s="1"/>
  <c r="M5" i="32"/>
  <c r="N5" i="32" s="1"/>
  <c r="M21" i="32"/>
  <c r="N21" i="32" s="1"/>
  <c r="M13" i="32"/>
  <c r="N13" i="32" s="1"/>
  <c r="M19" i="32"/>
  <c r="N19" i="32" s="1"/>
  <c r="M15" i="32"/>
  <c r="N15" i="32" s="1"/>
  <c r="M6" i="32"/>
  <c r="N6" i="32" s="1"/>
  <c r="M8" i="32"/>
  <c r="N8" i="32" s="1"/>
  <c r="M11" i="32"/>
  <c r="N11" i="32" s="1"/>
  <c r="M9" i="32"/>
  <c r="N9" i="32" s="1"/>
  <c r="M23" i="32"/>
  <c r="N23" i="32" s="1"/>
  <c r="M7" i="32"/>
  <c r="N7" i="32" s="1"/>
  <c r="AD15" i="32"/>
  <c r="AE15" i="32" s="1"/>
  <c r="AD11" i="32"/>
  <c r="AE11" i="32" s="1"/>
  <c r="AD21" i="32"/>
  <c r="AE21" i="32" s="1"/>
  <c r="AD10" i="32"/>
  <c r="AE10" i="32" s="1"/>
  <c r="AD17" i="32"/>
  <c r="AE17" i="32" s="1"/>
  <c r="AD12" i="32"/>
  <c r="AE12" i="32" s="1"/>
  <c r="AD13" i="32"/>
  <c r="AE13" i="32" s="1"/>
  <c r="AD6" i="32"/>
  <c r="AE6" i="32" s="1"/>
  <c r="AD5" i="32"/>
  <c r="AE5" i="32" s="1"/>
  <c r="AD18" i="32"/>
  <c r="AE18" i="32" s="1"/>
  <c r="AD23" i="32"/>
  <c r="AE23" i="32" s="1"/>
  <c r="AD7" i="32"/>
  <c r="AE7" i="32" s="1"/>
  <c r="AD24" i="32"/>
  <c r="AE24" i="32" s="1"/>
  <c r="M4" i="32"/>
  <c r="N4" i="32" s="1"/>
  <c r="C15" i="2" l="1"/>
  <c r="E18" i="8" l="1"/>
  <c r="F18" i="8" s="1"/>
  <c r="E17" i="8"/>
  <c r="F17" i="8" s="1"/>
  <c r="E16" i="8"/>
  <c r="F16" i="8" s="1"/>
  <c r="E15" i="8"/>
  <c r="F15" i="8" s="1"/>
  <c r="E14" i="8"/>
  <c r="F14" i="8" s="1"/>
  <c r="E13" i="8"/>
  <c r="F13" i="8" s="1"/>
  <c r="E12" i="8"/>
  <c r="F12" i="8" s="1"/>
  <c r="E11" i="8"/>
  <c r="F11" i="8" s="1"/>
  <c r="E10" i="8"/>
  <c r="F10" i="8" s="1"/>
  <c r="E9" i="8"/>
  <c r="F9" i="8" s="1"/>
  <c r="E8" i="8"/>
  <c r="F8" i="8" s="1"/>
  <c r="E7" i="8"/>
  <c r="F7" i="8" s="1"/>
  <c r="E6" i="8"/>
  <c r="F6" i="8" s="1"/>
  <c r="E5" i="8"/>
  <c r="F5" i="8" s="1"/>
  <c r="E4" i="8"/>
  <c r="F4" i="8" s="1"/>
  <c r="E3" i="8"/>
  <c r="F3" i="8" s="1"/>
  <c r="E2" i="8"/>
  <c r="F2" i="8" s="1"/>
  <c r="E8" i="6" l="1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3" i="6" l="1"/>
  <c r="F3" i="6" s="1"/>
  <c r="E4" i="6"/>
  <c r="F4" i="6" s="1"/>
  <c r="E5" i="6"/>
  <c r="F5" i="6" s="1"/>
  <c r="E6" i="6"/>
  <c r="F6" i="6" s="1"/>
  <c r="E7" i="6"/>
  <c r="F7" i="6" s="1"/>
  <c r="E2" i="6"/>
  <c r="F2" i="6" s="1"/>
  <c r="E19" i="2"/>
  <c r="E20" i="2"/>
  <c r="E18" i="2"/>
  <c r="J20" i="2"/>
  <c r="J19" i="2"/>
  <c r="J18" i="2"/>
  <c r="J17" i="2"/>
  <c r="J16" i="2"/>
  <c r="J15" i="2"/>
  <c r="J14" i="2"/>
  <c r="J13" i="2"/>
  <c r="J12" i="2"/>
  <c r="E9" i="2"/>
  <c r="J11" i="2"/>
  <c r="J10" i="2"/>
  <c r="J9" i="2"/>
  <c r="E10" i="2"/>
  <c r="E11" i="2"/>
  <c r="J8" i="2" l="1"/>
  <c r="J7" i="2"/>
  <c r="J6" i="2"/>
  <c r="J4" i="2" l="1"/>
  <c r="J5" i="2"/>
  <c r="J3" i="2"/>
  <c r="I13" i="1"/>
  <c r="J8" i="1"/>
  <c r="I8" i="1" s="1"/>
  <c r="J9" i="1"/>
  <c r="I9" i="1" s="1"/>
  <c r="J10" i="1"/>
  <c r="I10" i="1" s="1"/>
  <c r="J11" i="1"/>
  <c r="I11" i="1" s="1"/>
  <c r="J12" i="1"/>
  <c r="I12" i="1" s="1"/>
  <c r="J13" i="1"/>
  <c r="J14" i="1"/>
  <c r="I14" i="1" s="1"/>
  <c r="J15" i="1"/>
  <c r="I15" i="1" s="1"/>
  <c r="J16" i="1"/>
  <c r="I16" i="1" s="1"/>
  <c r="J17" i="1"/>
  <c r="I17" i="1" s="1"/>
  <c r="J3" i="1"/>
  <c r="I3" i="1" s="1"/>
  <c r="J4" i="1"/>
  <c r="I4" i="1" s="1"/>
  <c r="J5" i="1"/>
  <c r="I5" i="1" s="1"/>
  <c r="J6" i="1"/>
  <c r="I6" i="1" s="1"/>
  <c r="J7" i="1"/>
  <c r="I7" i="1" s="1"/>
  <c r="J2" i="1"/>
  <c r="I2" i="1" s="1"/>
  <c r="AD4" i="32" l="1"/>
  <c r="AE4" i="32" s="1"/>
  <c r="AM8" i="32" l="1"/>
  <c r="AM4" i="32"/>
  <c r="AM19" i="32"/>
  <c r="AM12" i="32"/>
  <c r="AM9" i="32"/>
  <c r="AM15" i="32"/>
  <c r="AM27" i="32"/>
  <c r="AM6" i="32"/>
  <c r="AM7" i="32"/>
  <c r="AM22" i="32"/>
  <c r="AM10" i="32"/>
  <c r="AM16" i="32"/>
  <c r="AM21" i="32"/>
  <c r="AM11" i="32"/>
  <c r="AM5" i="32"/>
  <c r="AM26" i="32"/>
  <c r="AM14" i="32"/>
  <c r="AM25" i="32"/>
  <c r="AM18" i="32"/>
  <c r="AM20" i="32"/>
  <c r="AM23" i="32"/>
  <c r="AM24" i="32"/>
  <c r="AM17" i="32"/>
  <c r="AM13" i="32"/>
  <c r="V57" i="46"/>
  <c r="Y57" i="46" s="1"/>
  <c r="AA57" i="46" s="1"/>
  <c r="Y58" i="46"/>
  <c r="AA58" i="46" s="1"/>
  <c r="U57" i="46"/>
  <c r="U58" i="46"/>
  <c r="X57" i="46"/>
  <c r="AB57" i="46" s="1"/>
  <c r="AC85" i="46" l="1"/>
  <c r="AE85" i="46" s="1"/>
  <c r="AC57" i="46"/>
  <c r="AC70" i="46"/>
  <c r="AE70" i="46" s="1"/>
  <c r="M98" i="46" l="1"/>
  <c r="N98" i="46" s="1"/>
  <c r="M93" i="46"/>
  <c r="N93" i="46" s="1"/>
  <c r="M87" i="46"/>
  <c r="N87" i="46" s="1"/>
  <c r="M89" i="46"/>
  <c r="N89" i="46" s="1"/>
  <c r="M91" i="46"/>
  <c r="N91" i="46" s="1"/>
  <c r="M96" i="46"/>
  <c r="N96" i="46" s="1"/>
  <c r="M92" i="46"/>
  <c r="N92" i="46" s="1"/>
  <c r="M97" i="46"/>
  <c r="N97" i="46" s="1"/>
  <c r="M88" i="46"/>
  <c r="N88" i="46" s="1"/>
  <c r="M94" i="46"/>
  <c r="N94" i="46" s="1"/>
  <c r="M95" i="46"/>
  <c r="N95" i="46" s="1"/>
  <c r="M90" i="46"/>
  <c r="N90" i="46" s="1"/>
  <c r="M79" i="46"/>
  <c r="N79" i="46" s="1"/>
  <c r="M72" i="46"/>
  <c r="N72" i="46" s="1"/>
  <c r="M83" i="46"/>
  <c r="N83" i="46" s="1"/>
  <c r="M74" i="46"/>
  <c r="N74" i="46" s="1"/>
  <c r="M86" i="46"/>
  <c r="N86" i="46" s="1"/>
  <c r="M76" i="46"/>
  <c r="N76" i="46" s="1"/>
  <c r="M80" i="46"/>
  <c r="N80" i="46" s="1"/>
  <c r="M82" i="46"/>
  <c r="N82" i="46" s="1"/>
  <c r="M84" i="46"/>
  <c r="N84" i="46" s="1"/>
  <c r="M75" i="46"/>
  <c r="N75" i="46" s="1"/>
  <c r="M78" i="46"/>
  <c r="N78" i="46" s="1"/>
  <c r="M85" i="46"/>
  <c r="N85" i="46" s="1"/>
  <c r="M73" i="46"/>
  <c r="N73" i="46" s="1"/>
  <c r="M77" i="46"/>
  <c r="N77" i="46" s="1"/>
  <c r="M81" i="46"/>
  <c r="N81" i="46" s="1"/>
  <c r="M44" i="46"/>
  <c r="N44" i="46" s="1"/>
  <c r="M29" i="46"/>
  <c r="N29" i="46" s="1"/>
  <c r="M41" i="46"/>
  <c r="N41" i="46" s="1"/>
  <c r="M11" i="46"/>
  <c r="N11" i="46" s="1"/>
  <c r="M52" i="46"/>
  <c r="N52" i="46" s="1"/>
  <c r="M34" i="46"/>
  <c r="N34" i="46" s="1"/>
  <c r="M43" i="46"/>
  <c r="N43" i="46" s="1"/>
  <c r="M59" i="46"/>
  <c r="N59" i="46" s="1"/>
  <c r="M5" i="46"/>
  <c r="N5" i="46" s="1"/>
  <c r="M47" i="46"/>
  <c r="N47" i="46" s="1"/>
  <c r="M48" i="46"/>
  <c r="N48" i="46" s="1"/>
  <c r="M33" i="46"/>
  <c r="N33" i="46" s="1"/>
  <c r="M46" i="46"/>
  <c r="N46" i="46" s="1"/>
  <c r="M35" i="46"/>
  <c r="N35" i="46" s="1"/>
  <c r="M25" i="46"/>
  <c r="N25" i="46" s="1"/>
  <c r="M45" i="46"/>
  <c r="N45" i="46" s="1"/>
  <c r="M20" i="46"/>
  <c r="N20" i="46" s="1"/>
  <c r="M28" i="46"/>
  <c r="N28" i="46" s="1"/>
  <c r="M61" i="46"/>
  <c r="N61" i="46" s="1"/>
  <c r="M9" i="46"/>
  <c r="N9" i="46" s="1"/>
  <c r="M27" i="46"/>
  <c r="N27" i="46" s="1"/>
  <c r="M58" i="46"/>
  <c r="N58" i="46" s="1"/>
  <c r="M55" i="46"/>
  <c r="N55" i="46" s="1"/>
  <c r="M6" i="46"/>
  <c r="N6" i="46" s="1"/>
  <c r="M12" i="46"/>
  <c r="N12" i="46" s="1"/>
  <c r="M39" i="46"/>
  <c r="N39" i="46" s="1"/>
  <c r="M15" i="46"/>
  <c r="N15" i="46" s="1"/>
  <c r="M38" i="46"/>
  <c r="N38" i="46" s="1"/>
  <c r="M16" i="46"/>
  <c r="N16" i="46" s="1"/>
  <c r="AE57" i="46"/>
  <c r="AM26" i="46" s="1"/>
  <c r="M13" i="46"/>
  <c r="N13" i="46" s="1"/>
  <c r="M50" i="46"/>
  <c r="N50" i="46" s="1"/>
  <c r="M8" i="46"/>
  <c r="N8" i="46" s="1"/>
  <c r="M56" i="46"/>
  <c r="N56" i="46" s="1"/>
  <c r="M18" i="46"/>
  <c r="N18" i="46" s="1"/>
  <c r="M19" i="46"/>
  <c r="N19" i="46" s="1"/>
  <c r="M31" i="46"/>
  <c r="N31" i="46" s="1"/>
  <c r="M60" i="46"/>
  <c r="N60" i="46" s="1"/>
  <c r="M17" i="46"/>
  <c r="N17" i="46" s="1"/>
  <c r="M54" i="46"/>
  <c r="N54" i="46" s="1"/>
  <c r="M24" i="46"/>
  <c r="N24" i="46" s="1"/>
  <c r="M32" i="46"/>
  <c r="N32" i="46" s="1"/>
  <c r="M23" i="46"/>
  <c r="N23" i="46" s="1"/>
  <c r="M22" i="46"/>
  <c r="N22" i="46" s="1"/>
  <c r="M30" i="46"/>
  <c r="N30" i="46" s="1"/>
  <c r="M51" i="46"/>
  <c r="N51" i="46" s="1"/>
  <c r="M21" i="46"/>
  <c r="N21" i="46" s="1"/>
  <c r="M7" i="46"/>
  <c r="N7" i="46" s="1"/>
  <c r="M26" i="46"/>
  <c r="N26" i="46" s="1"/>
  <c r="M36" i="46"/>
  <c r="N36" i="46" s="1"/>
  <c r="M37" i="46"/>
  <c r="N37" i="46" s="1"/>
  <c r="M57" i="46"/>
  <c r="N57" i="46" s="1"/>
  <c r="M10" i="46"/>
  <c r="N10" i="46" s="1"/>
  <c r="M53" i="46"/>
  <c r="N53" i="46" s="1"/>
  <c r="M4" i="46"/>
  <c r="N4" i="46" s="1"/>
  <c r="M49" i="46"/>
  <c r="N49" i="46" s="1"/>
  <c r="M14" i="46"/>
  <c r="N14" i="46" s="1"/>
  <c r="M40" i="46"/>
  <c r="N40" i="46" s="1"/>
  <c r="M42" i="46"/>
  <c r="N42" i="46" s="1"/>
  <c r="M66" i="46"/>
  <c r="N66" i="46" s="1"/>
  <c r="M71" i="46"/>
  <c r="N71" i="46" s="1"/>
  <c r="M68" i="46"/>
  <c r="N68" i="46" s="1"/>
  <c r="M62" i="46"/>
  <c r="N62" i="46" s="1"/>
  <c r="M63" i="46"/>
  <c r="N63" i="46" s="1"/>
  <c r="M64" i="46"/>
  <c r="N64" i="46" s="1"/>
  <c r="M70" i="46"/>
  <c r="N70" i="46" s="1"/>
  <c r="M69" i="46"/>
  <c r="N69" i="46" s="1"/>
  <c r="M67" i="46"/>
  <c r="N67" i="46" s="1"/>
  <c r="M65" i="46"/>
  <c r="N65" i="46" s="1"/>
  <c r="AM24" i="46"/>
  <c r="AM23" i="46" l="1"/>
  <c r="AM18" i="46"/>
  <c r="AM7" i="46"/>
  <c r="AM9" i="46"/>
  <c r="AM5" i="46"/>
  <c r="AM11" i="46"/>
  <c r="AM12" i="46"/>
  <c r="AM19" i="46"/>
  <c r="AM8" i="46"/>
  <c r="AM15" i="46"/>
  <c r="AM21" i="46"/>
  <c r="AM14" i="46"/>
  <c r="AM6" i="46"/>
  <c r="AM13" i="46"/>
  <c r="AM20" i="46"/>
  <c r="AM27" i="46"/>
  <c r="AM25" i="46"/>
  <c r="AM17" i="46"/>
  <c r="AM10" i="46"/>
  <c r="AM22" i="46"/>
  <c r="AM16" i="46"/>
  <c r="AM4" i="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ACB759-925D-4554-BD87-B66CC9B40B1E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52D5DAC-B7BE-40CF-B7D4-1C5F9AC93A2B}" name="WorksheetConnection_DiseñoRutas_Turnos.xlsx!Pangra" type="102" refreshedVersion="8" minRefreshableVersion="5">
    <extLst>
      <ext xmlns:x15="http://schemas.microsoft.com/office/spreadsheetml/2010/11/main" uri="{DE250136-89BD-433C-8126-D09CA5730AF9}">
        <x15:connection id="Pangra">
          <x15:rangePr sourceName="_xlcn.WorksheetConnection_DiseñoRutas_Turnos.xlsxPangra"/>
        </x15:connection>
      </ext>
    </extLst>
  </connection>
</connections>
</file>

<file path=xl/sharedStrings.xml><?xml version="1.0" encoding="utf-8"?>
<sst xmlns="http://schemas.openxmlformats.org/spreadsheetml/2006/main" count="1731" uniqueCount="157">
  <si>
    <t>Ruta</t>
  </si>
  <si>
    <t>Long km Comercial</t>
  </si>
  <si>
    <t>Vueltas/dia</t>
  </si>
  <si>
    <t>Km bus/dia</t>
  </si>
  <si>
    <t>velocidad</t>
  </si>
  <si>
    <t>Santander</t>
  </si>
  <si>
    <t>KM30</t>
  </si>
  <si>
    <t>Aguas Vivas</t>
  </si>
  <si>
    <t>Santa Lucía</t>
  </si>
  <si>
    <t>Carrizal</t>
  </si>
  <si>
    <t>Kilómetro 15</t>
  </si>
  <si>
    <t>Caño Viejo</t>
  </si>
  <si>
    <t>Leticia</t>
  </si>
  <si>
    <t>Panzenu</t>
  </si>
  <si>
    <t>El Sabanal</t>
  </si>
  <si>
    <t>Tambo Circunvalar</t>
  </si>
  <si>
    <t>Dorado</t>
  </si>
  <si>
    <t>Rancho Grande</t>
  </si>
  <si>
    <t>6 de Marzo</t>
  </si>
  <si>
    <t>Mogambo 22</t>
  </si>
  <si>
    <t>buses</t>
  </si>
  <si>
    <t>Pradera</t>
  </si>
  <si>
    <t>frecuencia</t>
  </si>
  <si>
    <t>intervalo</t>
  </si>
  <si>
    <t>tiempoVuelta (horas)</t>
  </si>
  <si>
    <t>tiempoVuelta(min)</t>
  </si>
  <si>
    <t>RUTA</t>
  </si>
  <si>
    <t>HORA_INI</t>
  </si>
  <si>
    <t>HORA_FIN</t>
  </si>
  <si>
    <t>BUSES</t>
  </si>
  <si>
    <t>TIEMPO_VUELTA(MIN)</t>
  </si>
  <si>
    <t>SER_BUS</t>
  </si>
  <si>
    <t>HORA_INI(2)</t>
  </si>
  <si>
    <t>HORA_FIN(2)</t>
  </si>
  <si>
    <t>%</t>
  </si>
  <si>
    <t>HORAS</t>
  </si>
  <si>
    <t>HORA</t>
  </si>
  <si>
    <t>MS</t>
  </si>
  <si>
    <t>MX</t>
  </si>
  <si>
    <t>MM</t>
  </si>
  <si>
    <t>Tambo</t>
  </si>
  <si>
    <t>Mogambo</t>
  </si>
  <si>
    <t>6 Marzo.</t>
  </si>
  <si>
    <t>Km30</t>
  </si>
  <si>
    <t>Km15</t>
  </si>
  <si>
    <t>Santa Lucia</t>
  </si>
  <si>
    <t>Sabanal</t>
  </si>
  <si>
    <t>Aeropuerto</t>
  </si>
  <si>
    <t>Aguas vivas</t>
  </si>
  <si>
    <t>SM</t>
  </si>
  <si>
    <t>MS= asignacion de servicios bus a Metrosinu S.A.</t>
  </si>
  <si>
    <t>MX= asignacion de servicios bus a Montería Express S.A.</t>
  </si>
  <si>
    <t>MM= asignacion de servicios bus a Monteriana Movil S.A.</t>
  </si>
  <si>
    <t>SM= asignacion de servicios bus a Sinumoviul S.A.S.</t>
  </si>
  <si>
    <t>TIEM(MIN)</t>
  </si>
  <si>
    <t>INTE(MIN)</t>
  </si>
  <si>
    <t>INTE= tiempo promedio entre despachos, expresado en minutos. Es el mismo tiempo de espera en parada</t>
  </si>
  <si>
    <t>FREC= Numero de vehículos en la hora, del terminal 1 al terminal 2 y del terminal 2 al terminal 1.</t>
  </si>
  <si>
    <t>FREC(V/H)</t>
  </si>
  <si>
    <t>KM</t>
  </si>
  <si>
    <t>KM= kilometraje comercial de una vuelta</t>
  </si>
  <si>
    <t>FREC= Numero de vehículos en la hora del terminal 1 al terminal 2</t>
  </si>
  <si>
    <t>Tc</t>
  </si>
  <si>
    <t>i</t>
  </si>
  <si>
    <t>BUS</t>
  </si>
  <si>
    <t>i-p</t>
  </si>
  <si>
    <t>H_SUG</t>
  </si>
  <si>
    <t>Tt_tex</t>
  </si>
  <si>
    <t>Tt_for</t>
  </si>
  <si>
    <t>Tr</t>
  </si>
  <si>
    <t>u</t>
  </si>
  <si>
    <t>i/u</t>
  </si>
  <si>
    <t>Reduccion</t>
  </si>
  <si>
    <t>a Patio</t>
  </si>
  <si>
    <t>Bat</t>
  </si>
  <si>
    <t>T1</t>
  </si>
  <si>
    <t>T2</t>
  </si>
  <si>
    <t>∑</t>
  </si>
  <si>
    <t>TrCeib</t>
  </si>
  <si>
    <t>VeredaTr</t>
  </si>
  <si>
    <t>iC</t>
  </si>
  <si>
    <t>iD</t>
  </si>
  <si>
    <t>∑TrCeib</t>
  </si>
  <si>
    <t>∑VeredaTr</t>
  </si>
  <si>
    <t>Vehiculo</t>
  </si>
  <si>
    <t>Horas</t>
  </si>
  <si>
    <t>DESPA</t>
  </si>
  <si>
    <t>PatioG</t>
  </si>
  <si>
    <t>TerMog</t>
  </si>
  <si>
    <t>TerAgne</t>
  </si>
  <si>
    <t>A.Negras - Mogambo22</t>
  </si>
  <si>
    <t>Mogambo22 - A.Negras</t>
  </si>
  <si>
    <t>Tt_Cal</t>
  </si>
  <si>
    <t>Reducc</t>
  </si>
  <si>
    <t>b</t>
  </si>
  <si>
    <t>NoV</t>
  </si>
  <si>
    <t>TerAgn</t>
  </si>
  <si>
    <t>Terminal</t>
  </si>
  <si>
    <t>T</t>
  </si>
  <si>
    <t>Tr-1</t>
  </si>
  <si>
    <t>Tr-2</t>
  </si>
  <si>
    <t>Pat-Ter1</t>
  </si>
  <si>
    <t>Ter2-Pat</t>
  </si>
  <si>
    <t>Pat-Ter2</t>
  </si>
  <si>
    <t>Ter1-Pat</t>
  </si>
  <si>
    <t>EMPRESA</t>
  </si>
  <si>
    <t>UPB-Poblad</t>
  </si>
  <si>
    <t>Poblad-UPB</t>
  </si>
  <si>
    <t>Poblado-UPB</t>
  </si>
  <si>
    <t>UPB-Poblado</t>
  </si>
  <si>
    <t>TIPO_TABLA</t>
  </si>
  <si>
    <t>PARTE</t>
  </si>
  <si>
    <t>BASE-RELEVO</t>
  </si>
  <si>
    <t>R</t>
  </si>
  <si>
    <t>TABLA_PARTIDA</t>
  </si>
  <si>
    <t>Total general</t>
  </si>
  <si>
    <t>Mín. de HORA_INI</t>
  </si>
  <si>
    <t>Máx. de HORA_FIN</t>
  </si>
  <si>
    <t>Suma de T</t>
  </si>
  <si>
    <t>Total 1</t>
  </si>
  <si>
    <t>Total 2</t>
  </si>
  <si>
    <t>Total 3</t>
  </si>
  <si>
    <t>Total 4</t>
  </si>
  <si>
    <t>Total 5</t>
  </si>
  <si>
    <t>Total 6</t>
  </si>
  <si>
    <t>Total 7</t>
  </si>
  <si>
    <t>Total 8</t>
  </si>
  <si>
    <t>Total 9</t>
  </si>
  <si>
    <t>Total 10</t>
  </si>
  <si>
    <t>r</t>
  </si>
  <si>
    <t>ARCOS</t>
  </si>
  <si>
    <t>TypeMission</t>
  </si>
  <si>
    <t>tipoTarea</t>
  </si>
  <si>
    <t>ArretDebut</t>
  </si>
  <si>
    <t>ArretFin</t>
  </si>
  <si>
    <t>Tiempo</t>
  </si>
  <si>
    <t>Linea</t>
  </si>
  <si>
    <t>HLP</t>
  </si>
  <si>
    <t>inicio de servicio</t>
  </si>
  <si>
    <t>PatioG_ini</t>
  </si>
  <si>
    <t>L05</t>
  </si>
  <si>
    <t>fin de servicio</t>
  </si>
  <si>
    <t>PatioG_fin</t>
  </si>
  <si>
    <t>Vacío</t>
  </si>
  <si>
    <t>Poblad</t>
  </si>
  <si>
    <t>UPB</t>
  </si>
  <si>
    <t>41K4</t>
  </si>
  <si>
    <t>CaiRvr</t>
  </si>
  <si>
    <t>Apuest</t>
  </si>
  <si>
    <t>Relevo</t>
  </si>
  <si>
    <t>UPB_Rel</t>
  </si>
  <si>
    <t>Inicio Relevo</t>
  </si>
  <si>
    <t>Poblado-UPB_D</t>
  </si>
  <si>
    <t>UPB1</t>
  </si>
  <si>
    <t>Tanqueo</t>
  </si>
  <si>
    <t>CambioLinea</t>
  </si>
  <si>
    <t>CambioL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</si>
</sst>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#,##0_ ;[Red]\-#,##0\ "/>
    <numFmt numFmtId="166" formatCode="_-* #,##0.0_-;\-* #,##0.0_-;_-* &quot;-&quot;??_-;_-@_-"/>
    <numFmt numFmtId="167" formatCode="#,##0.00_ ;[Red]\-#,##0.00\ "/>
    <numFmt numFmtId="168" formatCode="0.0"/>
    <numFmt numFmtId="169" formatCode="hh:mm:ss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A3EE9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1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3" fillId="0" borderId="0"/>
    <xf numFmtId="0" fontId="7" fillId="5" borderId="6" applyNumberFormat="0" applyAlignment="0" applyProtection="0"/>
    <xf numFmtId="0" fontId="10" fillId="6" borderId="0" applyNumberFormat="0" applyBorder="0" applyAlignment="0" applyProtection="0"/>
    <xf numFmtId="0" fontId="1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6" fillId="0" borderId="0"/>
  </cellStyleXfs>
  <cellXfs count="107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165" fontId="5" fillId="0" borderId="1" xfId="3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166" fontId="4" fillId="0" borderId="1" xfId="1" applyNumberFormat="1" applyFont="1" applyFill="1" applyBorder="1" applyAlignment="1">
      <alignment horizontal="center" vertical="center"/>
    </xf>
    <xf numFmtId="167" fontId="4" fillId="0" borderId="1" xfId="3" applyNumberFormat="1" applyFont="1" applyBorder="1" applyAlignment="1">
      <alignment vertical="center"/>
    </xf>
    <xf numFmtId="0" fontId="0" fillId="0" borderId="1" xfId="0" applyBorder="1"/>
    <xf numFmtId="2" fontId="0" fillId="0" borderId="1" xfId="0" applyNumberFormat="1" applyBorder="1"/>
    <xf numFmtId="168" fontId="0" fillId="0" borderId="1" xfId="0" applyNumberFormat="1" applyBorder="1"/>
    <xf numFmtId="167" fontId="0" fillId="0" borderId="0" xfId="0" applyNumberFormat="1"/>
    <xf numFmtId="0" fontId="2" fillId="0" borderId="1" xfId="0" applyFont="1" applyBorder="1"/>
    <xf numFmtId="20" fontId="0" fillId="0" borderId="1" xfId="0" applyNumberFormat="1" applyBorder="1"/>
    <xf numFmtId="9" fontId="4" fillId="0" borderId="1" xfId="2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20" fontId="0" fillId="2" borderId="1" xfId="0" applyNumberFormat="1" applyFill="1" applyBorder="1"/>
    <xf numFmtId="20" fontId="0" fillId="3" borderId="1" xfId="0" applyNumberFormat="1" applyFill="1" applyBorder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20" fontId="0" fillId="0" borderId="0" xfId="0" applyNumberFormat="1"/>
    <xf numFmtId="21" fontId="0" fillId="0" borderId="0" xfId="0" applyNumberFormat="1"/>
    <xf numFmtId="2" fontId="0" fillId="0" borderId="0" xfId="0" applyNumberFormat="1"/>
    <xf numFmtId="21" fontId="0" fillId="0" borderId="1" xfId="0" applyNumberFormat="1" applyBorder="1"/>
    <xf numFmtId="21" fontId="0" fillId="0" borderId="2" xfId="0" applyNumberFormat="1" applyBorder="1"/>
    <xf numFmtId="21" fontId="0" fillId="0" borderId="0" xfId="0" applyNumberFormat="1" applyAlignment="1">
      <alignment horizontal="left"/>
    </xf>
    <xf numFmtId="0" fontId="2" fillId="0" borderId="0" xfId="0" applyFont="1"/>
    <xf numFmtId="168" fontId="0" fillId="0" borderId="0" xfId="0" applyNumberFormat="1"/>
    <xf numFmtId="46" fontId="0" fillId="0" borderId="0" xfId="0" applyNumberForma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6" fontId="8" fillId="0" borderId="0" xfId="0" applyNumberFormat="1" applyFont="1" applyAlignment="1">
      <alignment horizontal="center"/>
    </xf>
    <xf numFmtId="21" fontId="2" fillId="0" borderId="0" xfId="0" applyNumberFormat="1" applyFont="1" applyAlignment="1">
      <alignment horizontal="left"/>
    </xf>
    <xf numFmtId="46" fontId="9" fillId="0" borderId="0" xfId="3" applyNumberFormat="1" applyFont="1" applyAlignment="1">
      <alignment wrapText="1"/>
    </xf>
    <xf numFmtId="21" fontId="0" fillId="0" borderId="2" xfId="0" applyNumberFormat="1" applyBorder="1" applyAlignment="1">
      <alignment horizontal="left"/>
    </xf>
    <xf numFmtId="21" fontId="7" fillId="0" borderId="2" xfId="4" applyNumberFormat="1" applyFill="1" applyBorder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46" fontId="12" fillId="0" borderId="0" xfId="0" applyNumberFormat="1" applyFont="1"/>
    <xf numFmtId="21" fontId="0" fillId="7" borderId="7" xfId="0" applyNumberFormat="1" applyFill="1" applyBorder="1"/>
    <xf numFmtId="21" fontId="13" fillId="0" borderId="0" xfId="0" applyNumberFormat="1" applyFont="1"/>
    <xf numFmtId="0" fontId="0" fillId="0" borderId="2" xfId="0" applyBorder="1"/>
    <xf numFmtId="21" fontId="0" fillId="4" borderId="5" xfId="0" applyNumberFormat="1" applyFill="1" applyBorder="1"/>
    <xf numFmtId="46" fontId="0" fillId="0" borderId="8" xfId="0" applyNumberFormat="1" applyBorder="1"/>
    <xf numFmtId="164" fontId="0" fillId="0" borderId="0" xfId="7" applyFont="1"/>
    <xf numFmtId="21" fontId="0" fillId="8" borderId="0" xfId="0" applyNumberForma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15" fillId="0" borderId="0" xfId="0" applyFont="1"/>
    <xf numFmtId="21" fontId="0" fillId="7" borderId="1" xfId="0" applyNumberFormat="1" applyFill="1" applyBorder="1"/>
    <xf numFmtId="21" fontId="0" fillId="16" borderId="0" xfId="0" applyNumberFormat="1" applyFill="1"/>
    <xf numFmtId="0" fontId="10" fillId="0" borderId="0" xfId="5" applyFill="1" applyAlignment="1">
      <alignment horizontal="center"/>
    </xf>
    <xf numFmtId="46" fontId="9" fillId="0" borderId="1" xfId="3" applyNumberFormat="1" applyFont="1" applyBorder="1" applyAlignment="1">
      <alignment wrapText="1"/>
    </xf>
    <xf numFmtId="21" fontId="0" fillId="0" borderId="1" xfId="0" applyNumberFormat="1" applyBorder="1" applyAlignment="1">
      <alignment horizontal="left"/>
    </xf>
    <xf numFmtId="21" fontId="7" fillId="0" borderId="1" xfId="4" applyNumberFormat="1" applyFill="1" applyBorder="1"/>
    <xf numFmtId="0" fontId="0" fillId="8" borderId="1" xfId="0" applyFill="1" applyBorder="1"/>
    <xf numFmtId="0" fontId="0" fillId="0" borderId="9" xfId="0" applyBorder="1"/>
    <xf numFmtId="0" fontId="0" fillId="0" borderId="10" xfId="0" applyBorder="1"/>
    <xf numFmtId="0" fontId="2" fillId="0" borderId="10" xfId="0" applyFont="1" applyBorder="1"/>
    <xf numFmtId="21" fontId="0" fillId="0" borderId="10" xfId="0" applyNumberFormat="1" applyBorder="1"/>
    <xf numFmtId="46" fontId="0" fillId="0" borderId="7" xfId="0" applyNumberFormat="1" applyBorder="1"/>
    <xf numFmtId="20" fontId="0" fillId="0" borderId="9" xfId="0" applyNumberFormat="1" applyBorder="1"/>
    <xf numFmtId="0" fontId="2" fillId="0" borderId="9" xfId="0" applyFont="1" applyBorder="1"/>
    <xf numFmtId="21" fontId="0" fillId="0" borderId="9" xfId="0" applyNumberFormat="1" applyBorder="1"/>
    <xf numFmtId="21" fontId="0" fillId="8" borderId="1" xfId="0" applyNumberFormat="1" applyFill="1" applyBorder="1"/>
    <xf numFmtId="21" fontId="0" fillId="17" borderId="1" xfId="0" applyNumberFormat="1" applyFill="1" applyBorder="1"/>
    <xf numFmtId="0" fontId="0" fillId="17" borderId="1" xfId="0" applyFill="1" applyBorder="1"/>
    <xf numFmtId="169" fontId="0" fillId="0" borderId="0" xfId="0" applyNumberFormat="1"/>
    <xf numFmtId="169" fontId="0" fillId="0" borderId="10" xfId="0" applyNumberFormat="1" applyBorder="1"/>
    <xf numFmtId="0" fontId="8" fillId="0" borderId="9" xfId="0" applyFont="1" applyBorder="1" applyAlignment="1">
      <alignment horizontal="center"/>
    </xf>
    <xf numFmtId="21" fontId="0" fillId="16" borderId="10" xfId="0" applyNumberFormat="1" applyFill="1" applyBorder="1"/>
    <xf numFmtId="169" fontId="0" fillId="0" borderId="11" xfId="0" applyNumberFormat="1" applyBorder="1"/>
    <xf numFmtId="168" fontId="2" fillId="0" borderId="0" xfId="0" applyNumberFormat="1" applyFont="1" applyAlignment="1">
      <alignment horizontal="center"/>
    </xf>
    <xf numFmtId="168" fontId="0" fillId="0" borderId="10" xfId="0" applyNumberFormat="1" applyBorder="1"/>
    <xf numFmtId="0" fontId="0" fillId="0" borderId="0" xfId="0" pivotButton="1"/>
    <xf numFmtId="46" fontId="0" fillId="8" borderId="0" xfId="0" applyNumberFormat="1" applyFill="1"/>
    <xf numFmtId="0" fontId="17" fillId="0" borderId="12" xfId="8" applyFont="1" applyBorder="1" applyAlignment="1">
      <alignment horizontal="center" wrapText="1"/>
    </xf>
    <xf numFmtId="46" fontId="18" fillId="0" borderId="12" xfId="8" applyNumberFormat="1" applyFont="1" applyBorder="1" applyAlignment="1">
      <alignment horizontal="center" wrapText="1"/>
    </xf>
    <xf numFmtId="46" fontId="9" fillId="0" borderId="0" xfId="8" applyNumberFormat="1" applyFont="1" applyAlignment="1">
      <alignment wrapText="1"/>
    </xf>
    <xf numFmtId="0" fontId="16" fillId="0" borderId="0" xfId="8" applyAlignment="1">
      <alignment horizontal="center"/>
    </xf>
    <xf numFmtId="0" fontId="16" fillId="0" borderId="0" xfId="8" applyAlignment="1">
      <alignment horizontal="center" wrapText="1"/>
    </xf>
    <xf numFmtId="0" fontId="16" fillId="0" borderId="0" xfId="8" applyAlignment="1">
      <alignment horizontal="center" vertical="top" wrapText="1" readingOrder="1"/>
    </xf>
    <xf numFmtId="46" fontId="0" fillId="0" borderId="0" xfId="0" applyNumberFormat="1" applyAlignment="1">
      <alignment horizontal="left"/>
    </xf>
    <xf numFmtId="46" fontId="0" fillId="0" borderId="0" xfId="0" applyNumberFormat="1" applyAlignment="1">
      <alignment horizontal="center"/>
    </xf>
    <xf numFmtId="46" fontId="9" fillId="8" borderId="0" xfId="8" applyNumberFormat="1" applyFont="1" applyFill="1" applyAlignment="1">
      <alignment wrapText="1"/>
    </xf>
    <xf numFmtId="0" fontId="0" fillId="8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7" fontId="4" fillId="0" borderId="1" xfId="3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67" fontId="4" fillId="0" borderId="2" xfId="3" applyNumberFormat="1" applyFont="1" applyBorder="1" applyAlignment="1">
      <alignment horizontal="center" vertical="center"/>
    </xf>
    <xf numFmtId="167" fontId="4" fillId="0" borderId="3" xfId="3" applyNumberFormat="1" applyFont="1" applyBorder="1" applyAlignment="1">
      <alignment horizontal="center" vertical="center"/>
    </xf>
    <xf numFmtId="167" fontId="4" fillId="0" borderId="4" xfId="3" applyNumberFormat="1" applyFont="1" applyBorder="1" applyAlignment="1">
      <alignment horizontal="center" vertical="center"/>
    </xf>
    <xf numFmtId="0" fontId="11" fillId="9" borderId="0" xfId="6" applyFill="1" applyAlignment="1">
      <alignment horizontal="center"/>
    </xf>
    <xf numFmtId="0" fontId="10" fillId="6" borderId="0" xfId="5" applyAlignment="1">
      <alignment horizontal="center"/>
    </xf>
    <xf numFmtId="0" fontId="11" fillId="0" borderId="0" xfId="6" applyAlignment="1">
      <alignment horizontal="center"/>
    </xf>
  </cellXfs>
  <cellStyles count="9">
    <cellStyle name="Bueno" xfId="5" builtinId="26"/>
    <cellStyle name="Cálculo" xfId="4" builtinId="22"/>
    <cellStyle name="Millares" xfId="1" builtinId="3"/>
    <cellStyle name="Moneda" xfId="7" builtinId="4"/>
    <cellStyle name="Normal" xfId="0" builtinId="0"/>
    <cellStyle name="Normal 2" xfId="3" xr:uid="{00000000-0005-0000-0000-000002000000}"/>
    <cellStyle name="Normal 2 2" xfId="8" xr:uid="{FD643185-EF6F-4491-920F-A8BCFD0B468C}"/>
    <cellStyle name="Porcentaje" xfId="2" builtinId="5"/>
    <cellStyle name="Texto explicativo" xfId="6" builtinId="53"/>
  </cellStyles>
  <dxfs count="265"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3EE96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1" formatCode="[h]:mm:ss"/>
      <fill>
        <patternFill patternType="none"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26" formatCode="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</dxf>
    <dxf>
      <numFmt numFmtId="168" formatCode="0.0"/>
    </dxf>
    <dxf>
      <numFmt numFmtId="0" formatCode="General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0" formatCode="General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1" formatCode="[h]:mm:ss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3E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114300</xdr:colOff>
      <xdr:row>1</xdr:row>
      <xdr:rowOff>47625</xdr:rowOff>
    </xdr:from>
    <xdr:to>
      <xdr:col>19</xdr:col>
      <xdr:colOff>609600</xdr:colOff>
      <xdr:row>14</xdr:row>
      <xdr:rowOff>81915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US 1">
              <a:extLst>
                <a:ext uri="{FF2B5EF4-FFF2-40B4-BE49-F238E27FC236}">
                  <a16:creationId xmlns:a16="http://schemas.microsoft.com/office/drawing/2014/main" id="{D52883E7-6B67-BBE4-7DA1-7B3FFA4E5F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225425"/>
              <a:ext cx="1914525" cy="2390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388.514949999997" createdVersion="8" refreshedVersion="8" minRefreshableVersion="3" recordCount="213" xr:uid="{4BFBC31F-2CB9-49F8-8FAD-742C458F6A97}">
  <cacheSource type="worksheet">
    <worksheetSource name="Tabla17"/>
  </cacheSource>
  <cacheFields count="14">
    <cacheField name="i/u" numFmtId="0">
      <sharedItems containsBlank="1"/>
    </cacheField>
    <cacheField name="Terminal" numFmtId="0">
      <sharedItems/>
    </cacheField>
    <cacheField name="BUS" numFmtId="0">
      <sharedItems containsSemiMixedTypes="0" containsString="0" containsNumber="1" containsInteger="1" minValue="1" maxValue="10" count="10">
        <n v="1"/>
        <n v="2"/>
        <n v="3"/>
        <n v="4"/>
        <n v="5"/>
        <n v="8"/>
        <n v="6"/>
        <n v="7"/>
        <n v="9"/>
        <n v="10"/>
      </sharedItems>
    </cacheField>
    <cacheField name="HORA_INI" numFmtId="0">
      <sharedItems containsSemiMixedTypes="0" containsNonDate="0" containsDate="1" containsString="0" minDate="1899-12-30T05:00:00" maxDate="1899-12-30T20:12:00"/>
    </cacheField>
    <cacheField name="i-p" numFmtId="0">
      <sharedItems containsNonDate="0" containsDate="1" containsString="0" containsBlank="1" minDate="1899-12-30T00:07:00" maxDate="1899-12-30T00:14:00"/>
    </cacheField>
    <cacheField name="i" numFmtId="0">
      <sharedItems containsSemiMixedTypes="0" containsNonDate="0" containsDate="1" containsString="0" minDate="1899-12-30T00:07:00" maxDate="1899-12-30T00:14:00"/>
    </cacheField>
    <cacheField name="Tr" numFmtId="0">
      <sharedItems containsSemiMixedTypes="0" containsNonDate="0" containsDate="1" containsString="0" minDate="1899-12-30T00:35:00" maxDate="1899-12-30T00:35:00"/>
    </cacheField>
    <cacheField name="HORA_FIN" numFmtId="0">
      <sharedItems containsSemiMixedTypes="0" containsNonDate="0" containsDate="1" containsString="0" minDate="1899-12-30T05:35:00" maxDate="1899-12-30T20:47:00"/>
    </cacheField>
    <cacheField name="Tt_Cal" numFmtId="0">
      <sharedItems containsDate="1" containsString="0" containsBlank="1" containsMixedTypes="1" minDate="1900-01-04T18:51:11" maxDate="1899-12-31T00:00:00"/>
    </cacheField>
    <cacheField name="Tt_tex" numFmtId="0">
      <sharedItems containsNonDate="0" containsDate="1" containsString="0" containsBlank="1" minDate="1899-12-30T00:01:00" maxDate="1899-12-30T00:08:00"/>
    </cacheField>
    <cacheField name="H_SUG" numFmtId="0">
      <sharedItems containsSemiMixedTypes="0" containsNonDate="0" containsDate="1" containsString="0" minDate="1899-12-30T05:00:00" maxDate="1899-12-30T20:12:00"/>
    </cacheField>
    <cacheField name="T" numFmtId="46">
      <sharedItems containsSemiMixedTypes="0" containsNonDate="0" containsDate="1" containsString="0" minDate="1899-12-30T00:35:00" maxDate="1899-12-30T00:43:00"/>
    </cacheField>
    <cacheField name="TIPO_TABLA" numFmtId="169">
      <sharedItems count="2">
        <s v="BASE-RELEVO"/>
        <s v="TABLA_PARTIDA"/>
      </sharedItems>
    </cacheField>
    <cacheField name="PARTE" numFmtId="168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">
  <r>
    <s v="i"/>
    <s v="Poblado-UPB"/>
    <x v="0"/>
    <d v="1899-12-30T05:00:00"/>
    <m/>
    <d v="1899-12-30T00:12:00"/>
    <d v="1899-12-30T00:35:00"/>
    <d v="1899-12-30T05:35:00"/>
    <m/>
    <m/>
    <d v="1899-12-30T05:00:00"/>
    <d v="1899-12-30T00:35:00"/>
    <x v="0"/>
    <x v="0"/>
  </r>
  <r>
    <s v="i"/>
    <s v="Poblado-UPB"/>
    <x v="1"/>
    <d v="1899-12-30T05:12:00"/>
    <d v="1899-12-30T00:12:00"/>
    <d v="1899-12-30T00:12:00"/>
    <d v="1899-12-30T00:35:00"/>
    <d v="1899-12-30T05:47:00"/>
    <d v="1899-12-30T00:00:00"/>
    <m/>
    <d v="1899-12-30T05:12:00"/>
    <d v="1899-12-30T00:35:00"/>
    <x v="0"/>
    <x v="0"/>
  </r>
  <r>
    <s v="i"/>
    <s v="Poblado-UPB"/>
    <x v="2"/>
    <d v="1899-12-30T05:24:00"/>
    <d v="1899-12-30T00:12:00"/>
    <d v="1899-12-30T00:12:00"/>
    <d v="1899-12-30T00:35:00"/>
    <d v="1899-12-30T05:59:00"/>
    <d v="1899-12-30T00:00:00"/>
    <m/>
    <d v="1899-12-30T05:24:00"/>
    <d v="1899-12-30T00:35:00"/>
    <x v="0"/>
    <x v="0"/>
  </r>
  <r>
    <s v="i"/>
    <s v="Poblado-UPB"/>
    <x v="3"/>
    <d v="1899-12-30T05:36:00"/>
    <d v="1899-12-30T00:12:00"/>
    <d v="1899-12-30T00:12:00"/>
    <d v="1899-12-30T00:35:00"/>
    <d v="1899-12-30T06:11:00"/>
    <d v="1899-12-30T00:00:00"/>
    <m/>
    <d v="1899-12-30T05:36:00"/>
    <d v="1899-12-30T00:35:00"/>
    <x v="0"/>
    <x v="0"/>
  </r>
  <r>
    <m/>
    <s v="UPB-Poblado"/>
    <x v="0"/>
    <d v="1899-12-30T05:39:00"/>
    <m/>
    <d v="1899-12-30T00:07:00"/>
    <d v="1899-12-30T00:35:00"/>
    <d v="1899-12-30T06:14:00"/>
    <m/>
    <d v="1899-12-30T00:04:00"/>
    <d v="1899-12-30T05:39:00"/>
    <d v="1899-12-30T00:39:00"/>
    <x v="0"/>
    <x v="0"/>
  </r>
  <r>
    <m/>
    <s v="UPB-Poblado"/>
    <x v="1"/>
    <d v="1899-12-30T05:46:00"/>
    <d v="1899-12-30T00:07:00"/>
    <d v="1899-12-30T00:07:00"/>
    <d v="1899-12-30T00:35:00"/>
    <d v="1899-12-30T06:21:00"/>
    <d v="1899-12-30T00:00:00"/>
    <m/>
    <d v="1899-12-30T05:46:00"/>
    <d v="1899-12-30T00:35:00"/>
    <x v="0"/>
    <x v="0"/>
  </r>
  <r>
    <s v="i"/>
    <s v="Poblado-UPB"/>
    <x v="4"/>
    <d v="1899-12-30T05:48:00"/>
    <d v="1899-12-30T00:12:00"/>
    <d v="1899-12-30T00:12:00"/>
    <d v="1899-12-30T00:35:00"/>
    <d v="1899-12-30T06:23:00"/>
    <d v="1899-12-30T00:00:00"/>
    <m/>
    <d v="1899-12-30T05:48:00"/>
    <d v="1899-12-30T00:35:00"/>
    <x v="1"/>
    <x v="0"/>
  </r>
  <r>
    <s v="i"/>
    <s v="UPB-Poblado"/>
    <x v="5"/>
    <d v="1899-12-30T05:53:00"/>
    <d v="1899-12-30T00:07:00"/>
    <d v="1899-12-30T00:07:00"/>
    <d v="1899-12-30T00:35:00"/>
    <d v="1899-12-30T06:28:00"/>
    <d v="1899-12-30T00:00:00"/>
    <m/>
    <d v="1899-12-30T05:53:00"/>
    <d v="1899-12-30T00:35:00"/>
    <x v="1"/>
    <x v="0"/>
  </r>
  <r>
    <s v="i"/>
    <s v="Poblado-UPB"/>
    <x v="6"/>
    <d v="1899-12-30T06:00:00"/>
    <d v="1899-12-30T00:12:00"/>
    <d v="1899-12-30T00:07:00"/>
    <d v="1899-12-30T00:35:00"/>
    <d v="1899-12-30T06:35:00"/>
    <n v="-3.4722222222222099E-3"/>
    <m/>
    <d v="1899-12-30T05:55:00"/>
    <d v="1899-12-30T00:35:00"/>
    <x v="0"/>
    <x v="0"/>
  </r>
  <r>
    <m/>
    <s v="UPB-Poblado"/>
    <x v="2"/>
    <d v="1899-12-30T06:00:00"/>
    <d v="1899-12-30T00:07:00"/>
    <d v="1899-12-30T00:07:00"/>
    <d v="1899-12-30T00:35:00"/>
    <d v="1899-12-30T06:35:00"/>
    <d v="1899-12-30T00:00:00"/>
    <d v="1899-12-30T00:01:00"/>
    <d v="1899-12-30T06:00:00"/>
    <d v="1899-12-30T00:36:00"/>
    <x v="0"/>
    <x v="0"/>
  </r>
  <r>
    <s v="i"/>
    <s v="Poblado-UPB"/>
    <x v="7"/>
    <d v="1899-12-30T06:07:00"/>
    <d v="1899-12-30T00:07:00"/>
    <d v="1899-12-30T00:07:00"/>
    <d v="1899-12-30T00:35:00"/>
    <d v="1899-12-30T06:42:00"/>
    <d v="1899-12-30T00:00:00"/>
    <m/>
    <d v="1899-12-30T06:07:00"/>
    <d v="1899-12-30T00:35:00"/>
    <x v="0"/>
    <x v="0"/>
  </r>
  <r>
    <s v="i"/>
    <s v="UPB-Poblado"/>
    <x v="8"/>
    <d v="1899-12-30T06:07:00"/>
    <d v="1899-12-30T00:07:00"/>
    <d v="1899-12-30T00:07:00"/>
    <d v="1899-12-30T00:35:00"/>
    <d v="1899-12-30T06:42:00"/>
    <d v="1899-12-30T00:00:00"/>
    <m/>
    <d v="1899-12-30T06:07:00"/>
    <d v="1899-12-30T00:35:00"/>
    <x v="1"/>
    <x v="0"/>
  </r>
  <r>
    <m/>
    <s v="Poblado-UPB"/>
    <x v="0"/>
    <d v="1899-12-30T06:14:00"/>
    <d v="1899-12-30T00:07:00"/>
    <d v="1899-12-30T00:07:00"/>
    <d v="1899-12-30T00:35:00"/>
    <d v="1899-12-30T06:49:00"/>
    <d v="1899-12-30T00:00:00"/>
    <m/>
    <d v="1899-12-30T06:14:00"/>
    <d v="1899-12-30T00:35:00"/>
    <x v="0"/>
    <x v="0"/>
  </r>
  <r>
    <m/>
    <s v="UPB-Poblado"/>
    <x v="3"/>
    <d v="1899-12-30T06:14:00"/>
    <d v="1899-12-30T00:07:00"/>
    <d v="1899-12-30T00:07:00"/>
    <d v="1899-12-30T00:35:00"/>
    <d v="1899-12-30T06:49:00"/>
    <d v="1899-12-30T00:00:00"/>
    <d v="1899-12-30T00:03:00"/>
    <d v="1899-12-30T06:14:00"/>
    <d v="1899-12-30T00:38:00"/>
    <x v="0"/>
    <x v="0"/>
  </r>
  <r>
    <m/>
    <s v="Poblado-UPB"/>
    <x v="1"/>
    <d v="1899-12-30T06:21:00"/>
    <d v="1899-12-30T00:07:00"/>
    <d v="1899-12-30T00:07:00"/>
    <d v="1899-12-30T00:35:00"/>
    <d v="1899-12-30T06:56:00"/>
    <d v="1899-12-30T00:00:00"/>
    <m/>
    <d v="1899-12-30T06:21:00"/>
    <d v="1899-12-30T00:35:00"/>
    <x v="0"/>
    <x v="0"/>
  </r>
  <r>
    <s v="i"/>
    <s v="UPB-Poblado"/>
    <x v="9"/>
    <d v="1899-12-30T06:21:00"/>
    <d v="1899-12-30T00:07:00"/>
    <d v="1899-12-30T00:07:00"/>
    <d v="1899-12-30T00:35:00"/>
    <d v="1899-12-30T06:56:00"/>
    <d v="1899-12-30T00:00:00"/>
    <m/>
    <d v="1899-12-30T06:21:00"/>
    <d v="1899-12-30T00:35:00"/>
    <x v="0"/>
    <x v="0"/>
  </r>
  <r>
    <m/>
    <s v="Poblado-UPB"/>
    <x v="5"/>
    <d v="1899-12-30T06:28:00"/>
    <d v="1899-12-30T00:07:00"/>
    <d v="1899-12-30T00:07:00"/>
    <d v="1899-12-30T00:35:00"/>
    <d v="1899-12-30T07:03:00"/>
    <d v="1899-12-30T00:00:00"/>
    <m/>
    <d v="1899-12-30T06:28:00"/>
    <d v="1899-12-30T00:35:00"/>
    <x v="1"/>
    <x v="0"/>
  </r>
  <r>
    <m/>
    <s v="UPB-Poblado"/>
    <x v="4"/>
    <d v="1899-12-30T06:28:00"/>
    <d v="1899-12-30T00:07:00"/>
    <d v="1899-12-30T00:07:00"/>
    <d v="1899-12-30T00:35:00"/>
    <d v="1899-12-30T07:03:00"/>
    <d v="1899-12-30T00:00:00"/>
    <d v="1899-12-30T00:05:00"/>
    <d v="1899-12-30T06:28:00"/>
    <d v="1899-12-30T00:40:00"/>
    <x v="1"/>
    <x v="0"/>
  </r>
  <r>
    <m/>
    <s v="Poblado-UPB"/>
    <x v="2"/>
    <d v="1899-12-30T06:35:00"/>
    <d v="1899-12-30T00:07:00"/>
    <d v="1899-12-30T00:07:00"/>
    <d v="1899-12-30T00:35:00"/>
    <d v="1899-12-30T07:10:00"/>
    <d v="1899-12-30T00:00:00"/>
    <m/>
    <d v="1899-12-30T06:35:00"/>
    <d v="1899-12-30T00:35:00"/>
    <x v="0"/>
    <x v="0"/>
  </r>
  <r>
    <m/>
    <s v="UPB-Poblado"/>
    <x v="6"/>
    <d v="1899-12-30T06:35:00"/>
    <d v="1899-12-30T00:07:00"/>
    <d v="1899-12-30T00:07:00"/>
    <d v="1899-12-30T00:35:00"/>
    <d v="1899-12-30T07:10:00"/>
    <d v="1899-12-30T00:00:00"/>
    <m/>
    <d v="1899-12-30T06:35:00"/>
    <d v="1899-12-30T00:35:00"/>
    <x v="0"/>
    <x v="0"/>
  </r>
  <r>
    <m/>
    <s v="Poblado-UPB"/>
    <x v="8"/>
    <d v="1899-12-30T06:42:00"/>
    <d v="1899-12-30T00:07:00"/>
    <d v="1899-12-30T00:07:00"/>
    <d v="1899-12-30T00:35:00"/>
    <d v="1899-12-30T07:17:00"/>
    <d v="1899-12-30T00:00:00"/>
    <m/>
    <d v="1899-12-30T06:42:00"/>
    <d v="1899-12-30T00:35:00"/>
    <x v="1"/>
    <x v="0"/>
  </r>
  <r>
    <m/>
    <s v="UPB-Poblado"/>
    <x v="7"/>
    <d v="1899-12-30T06:42:00"/>
    <d v="1899-12-30T00:07:00"/>
    <d v="1899-12-30T00:07:00"/>
    <d v="1899-12-30T00:35:00"/>
    <d v="1899-12-30T07:17:00"/>
    <d v="1899-12-30T00:00:00"/>
    <m/>
    <d v="1899-12-30T06:42:00"/>
    <d v="1899-12-30T00:35:00"/>
    <x v="0"/>
    <x v="0"/>
  </r>
  <r>
    <m/>
    <s v="Poblado-UPB"/>
    <x v="3"/>
    <d v="1899-12-30T06:49:00"/>
    <d v="1899-12-30T00:07:00"/>
    <d v="1899-12-30T00:07:00"/>
    <d v="1899-12-30T00:35:00"/>
    <d v="1899-12-30T07:24:00"/>
    <d v="1899-12-30T00:00:00"/>
    <m/>
    <d v="1899-12-30T06:49:00"/>
    <d v="1899-12-30T00:35:00"/>
    <x v="0"/>
    <x v="0"/>
  </r>
  <r>
    <m/>
    <s v="UPB-Poblado"/>
    <x v="0"/>
    <d v="1899-12-30T06:49:00"/>
    <d v="1899-12-30T00:07:00"/>
    <d v="1899-12-30T00:07:00"/>
    <d v="1899-12-30T00:35:00"/>
    <d v="1899-12-30T07:24:00"/>
    <d v="1899-12-30T00:00:00"/>
    <m/>
    <d v="1899-12-30T06:49:00"/>
    <d v="1899-12-30T00:35:00"/>
    <x v="0"/>
    <x v="0"/>
  </r>
  <r>
    <m/>
    <s v="Poblado-UPB"/>
    <x v="9"/>
    <d v="1899-12-30T06:56:00"/>
    <d v="1899-12-30T00:07:00"/>
    <d v="1899-12-30T00:07:00"/>
    <d v="1899-12-30T00:35:00"/>
    <d v="1899-12-30T07:31:00"/>
    <d v="1899-12-30T00:00:00"/>
    <m/>
    <d v="1899-12-30T06:56:00"/>
    <d v="1899-12-30T00:35:00"/>
    <x v="0"/>
    <x v="0"/>
  </r>
  <r>
    <m/>
    <s v="UPB-Poblado"/>
    <x v="1"/>
    <d v="1899-12-30T06:56:00"/>
    <d v="1899-12-30T00:07:00"/>
    <d v="1899-12-30T00:07:00"/>
    <d v="1899-12-30T00:35:00"/>
    <d v="1899-12-30T07:31:00"/>
    <d v="1899-12-30T00:00:00"/>
    <m/>
    <d v="1899-12-30T06:56:00"/>
    <d v="1899-12-30T00:35:00"/>
    <x v="0"/>
    <x v="0"/>
  </r>
  <r>
    <m/>
    <s v="Poblado-UPB"/>
    <x v="4"/>
    <d v="1899-12-30T07:03:00"/>
    <d v="1899-12-30T00:07:00"/>
    <d v="1899-12-30T00:07:00"/>
    <d v="1899-12-30T00:35:00"/>
    <d v="1899-12-30T07:38:00"/>
    <d v="1899-12-30T00:00:00"/>
    <m/>
    <d v="1899-12-30T07:03:00"/>
    <d v="1899-12-30T00:35:00"/>
    <x v="1"/>
    <x v="0"/>
  </r>
  <r>
    <m/>
    <s v="UPB-Poblado"/>
    <x v="5"/>
    <d v="1899-12-30T07:03:00"/>
    <d v="1899-12-30T00:07:00"/>
    <d v="1899-12-30T00:07:00"/>
    <d v="1899-12-30T00:35:00"/>
    <d v="1899-12-30T07:38:00"/>
    <d v="1899-12-30T00:00:00"/>
    <m/>
    <d v="1899-12-30T07:03:00"/>
    <d v="1899-12-30T00:35:00"/>
    <x v="1"/>
    <x v="0"/>
  </r>
  <r>
    <m/>
    <s v="Poblado-UPB"/>
    <x v="6"/>
    <d v="1899-12-30T07:10:00"/>
    <d v="1899-12-30T00:07:00"/>
    <d v="1899-12-30T00:07:00"/>
    <d v="1899-12-30T00:35:00"/>
    <d v="1899-12-30T07:45:00"/>
    <d v="1899-12-30T00:00:00"/>
    <m/>
    <d v="1899-12-30T07:10:00"/>
    <d v="1899-12-30T00:35:00"/>
    <x v="0"/>
    <x v="0"/>
  </r>
  <r>
    <m/>
    <s v="UPB-Poblado"/>
    <x v="2"/>
    <d v="1899-12-30T07:10:00"/>
    <d v="1899-12-30T00:07:00"/>
    <d v="1899-12-30T00:07:00"/>
    <d v="1899-12-30T00:35:00"/>
    <d v="1899-12-30T07:45:00"/>
    <d v="1899-12-30T00:00:00"/>
    <m/>
    <d v="1899-12-30T07:10:00"/>
    <d v="1899-12-30T00:35:00"/>
    <x v="0"/>
    <x v="0"/>
  </r>
  <r>
    <m/>
    <s v="Poblado-UPB"/>
    <x v="7"/>
    <d v="1899-12-30T07:17:00"/>
    <d v="1899-12-30T00:07:00"/>
    <d v="1899-12-30T00:07:00"/>
    <d v="1899-12-30T00:35:00"/>
    <d v="1899-12-30T07:52:00"/>
    <d v="1899-12-30T00:00:00"/>
    <m/>
    <d v="1899-12-30T07:17:00"/>
    <d v="1899-12-30T00:35:00"/>
    <x v="0"/>
    <x v="0"/>
  </r>
  <r>
    <m/>
    <s v="UPB-Poblado"/>
    <x v="8"/>
    <d v="1899-12-30T07:17:00"/>
    <d v="1899-12-30T00:07:00"/>
    <d v="1899-12-30T00:07:00"/>
    <d v="1899-12-30T00:35:00"/>
    <d v="1899-12-30T07:52:00"/>
    <d v="1899-12-30T00:00:00"/>
    <m/>
    <d v="1899-12-30T07:17:00"/>
    <d v="1899-12-30T00:35:00"/>
    <x v="1"/>
    <x v="0"/>
  </r>
  <r>
    <m/>
    <s v="Poblado-UPB"/>
    <x v="0"/>
    <d v="1899-12-30T07:24:00"/>
    <d v="1899-12-30T00:07:00"/>
    <d v="1899-12-30T00:07:00"/>
    <d v="1899-12-30T00:35:00"/>
    <d v="1899-12-30T07:59:00"/>
    <d v="1899-12-30T00:00:00"/>
    <m/>
    <d v="1899-12-30T07:24:00"/>
    <d v="1899-12-30T00:35:00"/>
    <x v="0"/>
    <x v="0"/>
  </r>
  <r>
    <m/>
    <s v="UPB-Poblado"/>
    <x v="3"/>
    <d v="1899-12-30T07:24:00"/>
    <d v="1899-12-30T00:07:00"/>
    <d v="1899-12-30T00:07:00"/>
    <d v="1899-12-30T00:35:00"/>
    <d v="1899-12-30T07:59:00"/>
    <d v="1899-12-30T00:00:00"/>
    <m/>
    <d v="1899-12-30T07:24:00"/>
    <d v="1899-12-30T00:35:00"/>
    <x v="0"/>
    <x v="0"/>
  </r>
  <r>
    <m/>
    <s v="Poblado-UPB"/>
    <x v="1"/>
    <d v="1899-12-30T07:31:00"/>
    <d v="1899-12-30T00:07:00"/>
    <d v="1899-12-30T00:07:00"/>
    <d v="1899-12-30T00:35:00"/>
    <d v="1899-12-30T08:06:00"/>
    <d v="1899-12-30T00:00:00"/>
    <m/>
    <d v="1899-12-30T07:31:00"/>
    <d v="1899-12-30T00:35:00"/>
    <x v="0"/>
    <x v="0"/>
  </r>
  <r>
    <m/>
    <s v="UPB-Poblado"/>
    <x v="9"/>
    <d v="1899-12-30T07:31:00"/>
    <d v="1899-12-30T00:07:00"/>
    <d v="1899-12-30T00:07:00"/>
    <d v="1899-12-30T00:35:00"/>
    <d v="1899-12-30T08:06:00"/>
    <d v="1899-12-30T00:00:00"/>
    <m/>
    <d v="1899-12-30T07:31:00"/>
    <d v="1899-12-30T00:35:00"/>
    <x v="0"/>
    <x v="0"/>
  </r>
  <r>
    <m/>
    <s v="Poblado-UPB"/>
    <x v="5"/>
    <d v="1899-12-30T07:38:00"/>
    <d v="1899-12-30T00:07:00"/>
    <d v="1899-12-30T00:07:00"/>
    <d v="1899-12-30T00:35:00"/>
    <d v="1899-12-30T08:13:00"/>
    <d v="1899-12-30T00:00:00"/>
    <m/>
    <d v="1899-12-30T07:38:00"/>
    <d v="1899-12-30T00:35:00"/>
    <x v="1"/>
    <x v="0"/>
  </r>
  <r>
    <m/>
    <s v="UPB-Poblado"/>
    <x v="4"/>
    <d v="1899-12-30T07:38:00"/>
    <d v="1899-12-30T00:07:00"/>
    <d v="1899-12-30T00:07:00"/>
    <d v="1899-12-30T00:35:00"/>
    <d v="1899-12-30T08:13:00"/>
    <d v="1899-12-30T00:00:00"/>
    <m/>
    <d v="1899-12-30T07:38:00"/>
    <d v="1899-12-30T00:35:00"/>
    <x v="1"/>
    <x v="0"/>
  </r>
  <r>
    <m/>
    <s v="Poblado-UPB"/>
    <x v="2"/>
    <d v="1899-12-30T07:45:00"/>
    <d v="1899-12-30T00:07:00"/>
    <d v="1899-12-30T00:07:00"/>
    <d v="1899-12-30T00:35:00"/>
    <d v="1899-12-30T08:20:00"/>
    <d v="1899-12-30T00:00:00"/>
    <m/>
    <d v="1899-12-30T07:45:00"/>
    <d v="1899-12-30T00:35:00"/>
    <x v="0"/>
    <x v="0"/>
  </r>
  <r>
    <m/>
    <s v="UPB-Poblado"/>
    <x v="6"/>
    <d v="1899-12-30T07:45:00"/>
    <d v="1899-12-30T00:07:00"/>
    <d v="1899-12-30T00:07:00"/>
    <d v="1899-12-30T00:35:00"/>
    <d v="1899-12-30T08:20:00"/>
    <d v="1899-12-30T00:00:00"/>
    <m/>
    <d v="1899-12-30T07:45:00"/>
    <d v="1899-12-30T00:35:00"/>
    <x v="0"/>
    <x v="0"/>
  </r>
  <r>
    <m/>
    <s v="Poblado-UPB"/>
    <x v="8"/>
    <d v="1899-12-30T07:52:00"/>
    <d v="1899-12-30T00:07:00"/>
    <d v="1899-12-30T00:07:00"/>
    <d v="1899-12-30T00:35:00"/>
    <d v="1899-12-30T08:27:00"/>
    <d v="1899-12-30T00:00:00"/>
    <m/>
    <d v="1899-12-30T07:52:00"/>
    <d v="1899-12-30T00:35:00"/>
    <x v="1"/>
    <x v="0"/>
  </r>
  <r>
    <m/>
    <s v="UPB-Poblado"/>
    <x v="7"/>
    <d v="1899-12-30T07:52:00"/>
    <d v="1899-12-30T00:07:00"/>
    <d v="1899-12-30T00:07:00"/>
    <d v="1899-12-30T00:35:00"/>
    <d v="1899-12-30T08:27:00"/>
    <d v="1899-12-30T00:00:00"/>
    <m/>
    <d v="1899-12-30T07:52:00"/>
    <d v="1899-12-30T00:35:00"/>
    <x v="0"/>
    <x v="0"/>
  </r>
  <r>
    <m/>
    <s v="Poblado-UPB"/>
    <x v="3"/>
    <d v="1899-12-30T07:59:00"/>
    <d v="1899-12-30T00:07:00"/>
    <d v="1899-12-30T00:07:00"/>
    <d v="1899-12-30T00:35:00"/>
    <d v="1899-12-30T08:34:00"/>
    <d v="1899-12-30T00:00:00"/>
    <m/>
    <d v="1899-12-30T07:59:00"/>
    <d v="1899-12-30T00:35:00"/>
    <x v="0"/>
    <x v="0"/>
  </r>
  <r>
    <m/>
    <s v="UPB-Poblado"/>
    <x v="0"/>
    <d v="1899-12-30T07:59:00"/>
    <d v="1899-12-30T00:07:00"/>
    <d v="1899-12-30T00:07:00"/>
    <d v="1899-12-30T00:35:00"/>
    <d v="1899-12-30T08:34:00"/>
    <d v="1899-12-30T00:00:00"/>
    <m/>
    <d v="1899-12-30T07:59:00"/>
    <d v="1899-12-30T00:35:00"/>
    <x v="0"/>
    <x v="0"/>
  </r>
  <r>
    <m/>
    <s v="Poblado-UPB"/>
    <x v="9"/>
    <d v="1899-12-30T08:06:00"/>
    <d v="1899-12-30T00:07:00"/>
    <d v="1899-12-30T00:07:00"/>
    <d v="1899-12-30T00:35:00"/>
    <d v="1899-12-30T08:41:00"/>
    <d v="1899-12-30T00:00:00"/>
    <m/>
    <d v="1899-12-30T08:06:00"/>
    <d v="1899-12-30T00:35:00"/>
    <x v="0"/>
    <x v="0"/>
  </r>
  <r>
    <m/>
    <s v="UPB-Poblado"/>
    <x v="1"/>
    <d v="1899-12-30T08:06:00"/>
    <d v="1899-12-30T00:07:00"/>
    <d v="1899-12-30T00:07:00"/>
    <d v="1899-12-30T00:35:00"/>
    <d v="1899-12-30T08:41:00"/>
    <d v="1899-12-30T00:00:00"/>
    <m/>
    <d v="1899-12-30T08:06:00"/>
    <d v="1899-12-30T00:35:00"/>
    <x v="0"/>
    <x v="0"/>
  </r>
  <r>
    <m/>
    <s v="Poblado-UPB"/>
    <x v="4"/>
    <d v="1899-12-30T08:13:00"/>
    <d v="1899-12-30T00:07:00"/>
    <d v="1899-12-30T00:07:00"/>
    <d v="1899-12-30T00:35:00"/>
    <d v="1899-12-30T08:48:00"/>
    <d v="1899-12-30T00:00:00"/>
    <m/>
    <d v="1899-12-30T08:13:00"/>
    <d v="1899-12-30T00:35:00"/>
    <x v="1"/>
    <x v="0"/>
  </r>
  <r>
    <m/>
    <s v="UPB-Poblado"/>
    <x v="5"/>
    <d v="1899-12-30T08:13:00"/>
    <d v="1899-12-30T00:07:00"/>
    <d v="1899-12-30T00:07:00"/>
    <d v="1899-12-30T00:35:00"/>
    <d v="1899-12-30T08:48:00"/>
    <d v="1899-12-30T00:00:00"/>
    <m/>
    <d v="1899-12-30T08:13:00"/>
    <d v="1899-12-30T00:35:00"/>
    <x v="1"/>
    <x v="0"/>
  </r>
  <r>
    <m/>
    <s v="Poblado-UPB"/>
    <x v="6"/>
    <d v="1899-12-30T08:20:00"/>
    <d v="1899-12-30T00:07:00"/>
    <d v="1899-12-30T00:07:00"/>
    <d v="1899-12-30T00:35:00"/>
    <d v="1899-12-30T08:55:00"/>
    <d v="1899-12-30T00:00:00"/>
    <m/>
    <d v="1899-12-30T08:20:00"/>
    <d v="1899-12-30T00:35:00"/>
    <x v="0"/>
    <x v="0"/>
  </r>
  <r>
    <m/>
    <s v="UPB-Poblado"/>
    <x v="2"/>
    <d v="1899-12-30T08:20:00"/>
    <d v="1899-12-30T00:07:00"/>
    <d v="1899-12-30T00:07:00"/>
    <d v="1899-12-30T00:35:00"/>
    <d v="1899-12-30T08:55:00"/>
    <d v="1899-12-30T00:00:00"/>
    <m/>
    <d v="1899-12-30T08:20:00"/>
    <d v="1899-12-30T00:35:00"/>
    <x v="0"/>
    <x v="0"/>
  </r>
  <r>
    <m/>
    <s v="Poblado-UPB"/>
    <x v="7"/>
    <d v="1899-12-30T08:27:00"/>
    <d v="1899-12-30T00:07:00"/>
    <d v="1899-12-30T00:07:00"/>
    <d v="1899-12-30T00:35:00"/>
    <d v="1899-12-30T09:02:00"/>
    <d v="1899-12-30T00:00:00"/>
    <m/>
    <d v="1899-12-30T08:27:00"/>
    <d v="1899-12-30T00:35:00"/>
    <x v="0"/>
    <x v="0"/>
  </r>
  <r>
    <m/>
    <s v="UPB-Poblado"/>
    <x v="8"/>
    <d v="1899-12-30T08:27:00"/>
    <d v="1899-12-30T00:07:00"/>
    <d v="1899-12-30T00:07:00"/>
    <d v="1899-12-30T00:35:00"/>
    <d v="1899-12-30T09:02:00"/>
    <d v="1899-12-30T00:00:00"/>
    <m/>
    <d v="1899-12-30T08:27:00"/>
    <d v="1899-12-30T00:35:00"/>
    <x v="1"/>
    <x v="0"/>
  </r>
  <r>
    <m/>
    <s v="Poblado-UPB"/>
    <x v="0"/>
    <d v="1899-12-30T08:34:00"/>
    <d v="1899-12-30T00:07:00"/>
    <d v="1899-12-30T00:07:00"/>
    <d v="1899-12-30T00:35:00"/>
    <d v="1899-12-30T09:09:00"/>
    <d v="1899-12-30T00:00:00"/>
    <m/>
    <d v="1899-12-30T08:34:00"/>
    <d v="1899-12-30T00:35:00"/>
    <x v="0"/>
    <x v="0"/>
  </r>
  <r>
    <m/>
    <s v="UPB-Poblado"/>
    <x v="3"/>
    <d v="1899-12-30T08:34:00"/>
    <d v="1899-12-30T00:07:00"/>
    <d v="1899-12-30T00:07:00"/>
    <d v="1899-12-30T00:35:00"/>
    <d v="1899-12-30T09:09:00"/>
    <d v="1899-12-30T00:00:00"/>
    <m/>
    <d v="1899-12-30T08:34:00"/>
    <d v="1899-12-30T00:35:00"/>
    <x v="0"/>
    <x v="0"/>
  </r>
  <r>
    <m/>
    <s v="Poblado-UPB"/>
    <x v="1"/>
    <d v="1899-12-30T08:41:00"/>
    <d v="1899-12-30T00:07:00"/>
    <d v="1899-12-30T00:07:00"/>
    <d v="1899-12-30T00:35:00"/>
    <d v="1899-12-30T09:16:00"/>
    <d v="1899-12-30T00:00:00"/>
    <m/>
    <d v="1899-12-30T08:41:00"/>
    <d v="1899-12-30T00:35:00"/>
    <x v="0"/>
    <x v="0"/>
  </r>
  <r>
    <m/>
    <s v="UPB-Poblado"/>
    <x v="9"/>
    <d v="1899-12-30T08:41:00"/>
    <d v="1899-12-30T00:07:00"/>
    <d v="1899-12-30T00:07:00"/>
    <d v="1899-12-30T00:35:00"/>
    <d v="1899-12-30T09:16:00"/>
    <d v="1899-12-30T00:00:00"/>
    <m/>
    <d v="1899-12-30T08:41:00"/>
    <d v="1899-12-30T00:35:00"/>
    <x v="0"/>
    <x v="0"/>
  </r>
  <r>
    <m/>
    <s v="Poblado-UPB"/>
    <x v="5"/>
    <d v="1899-12-30T08:48:00"/>
    <d v="1899-12-30T00:07:00"/>
    <d v="1899-12-30T00:07:00"/>
    <d v="1899-12-30T00:35:00"/>
    <d v="1899-12-30T09:23:00"/>
    <d v="1899-12-30T00:00:00"/>
    <m/>
    <d v="1899-12-30T08:48:00"/>
    <d v="1899-12-30T00:35:00"/>
    <x v="1"/>
    <x v="0"/>
  </r>
  <r>
    <m/>
    <s v="UPB-Poblado"/>
    <x v="4"/>
    <d v="1899-12-30T08:48:00"/>
    <d v="1899-12-30T00:07:00"/>
    <d v="1899-12-30T00:07:00"/>
    <d v="1899-12-30T00:35:00"/>
    <d v="1899-12-30T09:23:00"/>
    <d v="1899-12-30T00:00:00"/>
    <m/>
    <d v="1899-12-30T08:48:00"/>
    <d v="1899-12-30T00:35:00"/>
    <x v="1"/>
    <x v="0"/>
  </r>
  <r>
    <m/>
    <s v="Poblado-UPB"/>
    <x v="2"/>
    <d v="1899-12-30T08:55:00"/>
    <d v="1899-12-30T00:07:00"/>
    <d v="1899-12-30T00:07:00"/>
    <d v="1899-12-30T00:35:00"/>
    <d v="1899-12-30T09:30:00"/>
    <d v="1899-12-30T00:00:00"/>
    <m/>
    <d v="1899-12-30T08:55:00"/>
    <d v="1899-12-30T00:35:00"/>
    <x v="0"/>
    <x v="0"/>
  </r>
  <r>
    <m/>
    <s v="UPB-Poblado"/>
    <x v="6"/>
    <d v="1899-12-30T08:55:00"/>
    <d v="1899-12-30T00:07:00"/>
    <d v="1899-12-30T00:07:00"/>
    <d v="1899-12-30T00:35:00"/>
    <d v="1899-12-30T09:30:00"/>
    <d v="1899-12-30T00:00:00"/>
    <m/>
    <d v="1899-12-30T08:55:00"/>
    <d v="1899-12-30T00:35:00"/>
    <x v="0"/>
    <x v="0"/>
  </r>
  <r>
    <s v="u"/>
    <s v="Poblado-UPB"/>
    <x v="8"/>
    <d v="1899-12-30T09:02:00"/>
    <d v="1899-12-30T00:07:00"/>
    <d v="1899-12-30T00:07:00"/>
    <d v="1899-12-30T00:35:00"/>
    <d v="1899-12-30T09:37:00"/>
    <d v="1899-12-30T00:00:00"/>
    <m/>
    <d v="1899-12-30T09:02:00"/>
    <d v="1899-12-30T00:35:00"/>
    <x v="1"/>
    <x v="0"/>
  </r>
  <r>
    <m/>
    <s v="UPB-Poblado"/>
    <x v="7"/>
    <d v="1899-12-30T09:02:00"/>
    <d v="1899-12-30T00:07:00"/>
    <d v="1899-12-30T00:07:00"/>
    <d v="1899-12-30T00:35:00"/>
    <d v="1899-12-30T09:37:00"/>
    <d v="1899-12-30T00:00:00"/>
    <m/>
    <d v="1899-12-30T09:02:00"/>
    <d v="1899-12-30T00:35:00"/>
    <x v="0"/>
    <x v="0"/>
  </r>
  <r>
    <m/>
    <s v="Poblado-UPB"/>
    <x v="3"/>
    <d v="1899-12-30T09:09:00"/>
    <d v="1899-12-30T00:07:00"/>
    <d v="1899-12-30T00:07:00"/>
    <d v="1899-12-30T00:35:00"/>
    <d v="1899-12-30T09:44:00"/>
    <d v="1899-12-30T00:00:00"/>
    <m/>
    <d v="1899-12-30T09:09:00"/>
    <d v="1899-12-30T00:35:00"/>
    <x v="0"/>
    <x v="0"/>
  </r>
  <r>
    <m/>
    <s v="UPB-Poblado"/>
    <x v="0"/>
    <d v="1899-12-30T09:09:00"/>
    <d v="1899-12-30T00:07:00"/>
    <d v="1899-12-30T00:07:00"/>
    <d v="1899-12-30T00:35:00"/>
    <d v="1899-12-30T09:44:00"/>
    <d v="1899-12-30T00:00:00"/>
    <m/>
    <d v="1899-12-30T09:09:00"/>
    <d v="1899-12-30T00:35:00"/>
    <x v="0"/>
    <x v="0"/>
  </r>
  <r>
    <m/>
    <s v="Poblado-UPB"/>
    <x v="9"/>
    <d v="1899-12-30T09:16:00"/>
    <d v="1899-12-30T00:07:00"/>
    <d v="1899-12-30T00:07:00"/>
    <d v="1899-12-30T00:35:00"/>
    <d v="1899-12-30T09:51:00"/>
    <d v="1899-12-30T00:00:00"/>
    <m/>
    <d v="1899-12-30T09:16:00"/>
    <d v="1899-12-30T00:35:00"/>
    <x v="0"/>
    <x v="0"/>
  </r>
  <r>
    <m/>
    <s v="UPB-Poblado"/>
    <x v="1"/>
    <d v="1899-12-30T09:16:00"/>
    <d v="1899-12-30T00:07:00"/>
    <d v="1899-12-30T00:07:00"/>
    <d v="1899-12-30T00:35:00"/>
    <d v="1899-12-30T09:51:00"/>
    <d v="1899-12-30T00:00:00"/>
    <m/>
    <d v="1899-12-30T09:16:00"/>
    <d v="1899-12-30T00:35:00"/>
    <x v="0"/>
    <x v="0"/>
  </r>
  <r>
    <s v="u"/>
    <s v="Poblado-UPB"/>
    <x v="4"/>
    <d v="1899-12-30T09:23:00"/>
    <d v="1899-12-30T00:07:00"/>
    <d v="1899-12-30T00:07:00"/>
    <d v="1899-12-30T00:35:00"/>
    <d v="1899-12-30T09:58:00"/>
    <d v="1899-12-30T00:00:00"/>
    <m/>
    <d v="1899-12-30T09:23:00"/>
    <d v="1899-12-30T00:35:00"/>
    <x v="1"/>
    <x v="0"/>
  </r>
  <r>
    <m/>
    <s v="UPB-Poblado"/>
    <x v="5"/>
    <d v="1899-12-30T09:23:00"/>
    <d v="1899-12-30T00:07:00"/>
    <d v="1899-12-30T00:07:00"/>
    <d v="1899-12-30T00:35:00"/>
    <d v="1899-12-30T09:58:00"/>
    <d v="1899-12-30T00:00:00"/>
    <m/>
    <d v="1899-12-30T09:23:00"/>
    <d v="1899-12-30T00:35:00"/>
    <x v="1"/>
    <x v="0"/>
  </r>
  <r>
    <m/>
    <s v="Poblado-UPB"/>
    <x v="6"/>
    <d v="1899-12-30T09:30:00"/>
    <d v="1899-12-30T00:07:00"/>
    <d v="1899-12-30T00:07:00"/>
    <d v="1899-12-30T00:35:00"/>
    <d v="1899-12-30T10:05:00"/>
    <d v="1899-12-30T00:00:00"/>
    <m/>
    <d v="1899-12-30T09:30:00"/>
    <d v="1899-12-30T00:35:00"/>
    <x v="0"/>
    <x v="0"/>
  </r>
  <r>
    <m/>
    <s v="UPB-Poblado"/>
    <x v="2"/>
    <d v="1899-12-30T09:33:00"/>
    <d v="1899-12-30T00:10:00"/>
    <d v="1899-12-30T00:10:00"/>
    <d v="1899-12-30T00:35:00"/>
    <d v="1899-12-30T10:08:00"/>
    <d v="1899-12-30T00:00:00"/>
    <d v="1899-12-30T00:03:00"/>
    <d v="1899-12-30T09:33:00"/>
    <d v="1899-12-30T00:38:00"/>
    <x v="0"/>
    <x v="0"/>
  </r>
  <r>
    <m/>
    <s v="Poblado-UPB"/>
    <x v="7"/>
    <d v="1899-12-30T09:37:00"/>
    <d v="1899-12-30T00:07:00"/>
    <d v="1899-12-30T00:07:00"/>
    <d v="1899-12-30T00:35:00"/>
    <d v="1899-12-30T10:12:00"/>
    <d v="1899-12-30T00:00:00"/>
    <m/>
    <d v="1899-12-30T09:37:00"/>
    <d v="1899-12-30T00:35:00"/>
    <x v="0"/>
    <x v="0"/>
  </r>
  <r>
    <m/>
    <s v="Poblado-UPB"/>
    <x v="0"/>
    <d v="1899-12-30T09:44:00"/>
    <d v="1899-12-30T00:07:00"/>
    <d v="1899-12-30T00:07:00"/>
    <d v="1899-12-30T00:35:00"/>
    <d v="1899-12-30T10:19:00"/>
    <d v="1899-12-30T00:00:00"/>
    <m/>
    <d v="1899-12-30T09:44:00"/>
    <d v="1899-12-30T00:35:00"/>
    <x v="0"/>
    <x v="0"/>
  </r>
  <r>
    <m/>
    <s v="UPB-Poblado"/>
    <x v="3"/>
    <d v="1899-12-30T09:44:00"/>
    <d v="1899-12-30T00:11:00"/>
    <d v="1899-12-30T00:10:00"/>
    <d v="1899-12-30T00:35:00"/>
    <d v="1899-12-30T10:19:00"/>
    <n v="-6.9444444444466402E-4"/>
    <m/>
    <d v="1899-12-30T09:43:00"/>
    <d v="1899-12-30T00:35:00"/>
    <x v="0"/>
    <x v="0"/>
  </r>
  <r>
    <m/>
    <s v="Poblado-UPB"/>
    <x v="1"/>
    <d v="1899-12-30T09:51:00"/>
    <d v="1899-12-30T00:07:00"/>
    <d v="1899-12-30T00:07:00"/>
    <d v="1899-12-30T00:35:00"/>
    <d v="1899-12-30T10:26:00"/>
    <d v="1899-12-30T00:00:00"/>
    <m/>
    <d v="1899-12-30T09:51:00"/>
    <d v="1899-12-30T00:35:00"/>
    <x v="0"/>
    <x v="0"/>
  </r>
  <r>
    <m/>
    <s v="UPB-Poblado"/>
    <x v="9"/>
    <d v="1899-12-30T09:54:00"/>
    <d v="1899-12-30T00:10:00"/>
    <d v="1899-12-30T00:10:00"/>
    <d v="1899-12-30T00:35:00"/>
    <d v="1899-12-30T10:29:00"/>
    <d v="1899-12-30T00:00:00"/>
    <d v="1899-12-30T00:03:00"/>
    <d v="1899-12-30T09:54:00"/>
    <d v="1899-12-30T00:38:00"/>
    <x v="0"/>
    <x v="0"/>
  </r>
  <r>
    <s v="u"/>
    <s v="Poblado-UPB"/>
    <x v="5"/>
    <d v="1899-12-30T09:58:00"/>
    <d v="1899-12-30T00:07:00"/>
    <d v="1899-12-30T00:07:00"/>
    <d v="1899-12-30T00:35:00"/>
    <d v="1899-12-30T10:33:00"/>
    <d v="1899-12-30T00:00:00"/>
    <m/>
    <d v="1899-12-30T09:58:00"/>
    <d v="1899-12-30T00:35:00"/>
    <x v="1"/>
    <x v="0"/>
  </r>
  <r>
    <m/>
    <s v="UPB-Poblado"/>
    <x v="6"/>
    <d v="1899-12-30T10:05:00"/>
    <d v="1899-12-30T00:11:00"/>
    <d v="1899-12-30T00:10:00"/>
    <d v="1899-12-30T00:35:00"/>
    <d v="1899-12-30T10:40:00"/>
    <n v="-6.9444444444466402E-4"/>
    <m/>
    <d v="1899-12-30T10:04:00"/>
    <d v="1899-12-30T00:35:00"/>
    <x v="0"/>
    <x v="0"/>
  </r>
  <r>
    <m/>
    <s v="Poblado-UPB"/>
    <x v="2"/>
    <d v="1899-12-30T10:08:00"/>
    <d v="1899-12-30T00:10:00"/>
    <d v="1899-12-30T00:10:00"/>
    <d v="1899-12-30T00:35:00"/>
    <d v="1899-12-30T10:43:00"/>
    <d v="1899-12-30T00:00:00"/>
    <m/>
    <d v="1899-12-30T10:08:00"/>
    <d v="1899-12-30T00:35:00"/>
    <x v="0"/>
    <x v="0"/>
  </r>
  <r>
    <m/>
    <s v="UPB-Poblado"/>
    <x v="7"/>
    <d v="1899-12-30T10:15:00"/>
    <d v="1899-12-30T00:10:00"/>
    <d v="1899-12-30T00:10:00"/>
    <d v="1899-12-30T00:35:00"/>
    <d v="1899-12-30T10:50:00"/>
    <d v="1899-12-30T00:00:00"/>
    <d v="1899-12-30T00:03:00"/>
    <d v="1899-12-30T10:15:00"/>
    <d v="1899-12-30T00:38:00"/>
    <x v="0"/>
    <x v="0"/>
  </r>
  <r>
    <m/>
    <s v="Poblado-UPB"/>
    <x v="3"/>
    <d v="1899-12-30T10:19:00"/>
    <d v="1899-12-30T00:11:00"/>
    <d v="1899-12-30T00:10:00"/>
    <d v="1899-12-30T00:35:00"/>
    <d v="1899-12-30T10:54:00"/>
    <n v="-6.9444444444466402E-4"/>
    <m/>
    <d v="1899-12-30T10:18:00"/>
    <d v="1899-12-30T00:35:00"/>
    <x v="0"/>
    <x v="0"/>
  </r>
  <r>
    <m/>
    <s v="UPB-Poblado"/>
    <x v="0"/>
    <d v="1899-12-30T10:24:00"/>
    <d v="1899-12-30T00:09:00"/>
    <d v="1899-12-30T00:10:00"/>
    <d v="1899-12-30T00:35:00"/>
    <d v="1899-12-30T10:59:00"/>
    <d v="1899-12-30T00:01:00"/>
    <d v="1899-12-30T00:05:00"/>
    <d v="1899-12-30T10:25:00"/>
    <d v="1899-12-30T00:40:00"/>
    <x v="0"/>
    <x v="0"/>
  </r>
  <r>
    <m/>
    <s v="Poblado-UPB"/>
    <x v="9"/>
    <d v="1899-12-30T10:29:00"/>
    <d v="1899-12-30T00:10:00"/>
    <d v="1899-12-30T00:10:00"/>
    <d v="1899-12-30T00:35:00"/>
    <d v="1899-12-30T11:04:00"/>
    <d v="1899-12-30T00:00:00"/>
    <m/>
    <d v="1899-12-30T10:29:00"/>
    <d v="1899-12-30T00:35:00"/>
    <x v="0"/>
    <x v="0"/>
  </r>
  <r>
    <m/>
    <s v="UPB-Poblado"/>
    <x v="1"/>
    <d v="1899-12-30T10:34:00"/>
    <d v="1899-12-30T00:10:00"/>
    <d v="1899-12-30T00:10:00"/>
    <d v="1899-12-30T00:35:00"/>
    <d v="1899-12-30T11:09:00"/>
    <d v="1899-12-30T00:00:00"/>
    <d v="1899-12-30T00:08:00"/>
    <d v="1899-12-30T10:34:00"/>
    <d v="1899-12-30T00:43:00"/>
    <x v="0"/>
    <x v="0"/>
  </r>
  <r>
    <m/>
    <s v="Poblado-UPB"/>
    <x v="6"/>
    <d v="1899-12-30T10:40:00"/>
    <d v="1899-12-30T00:11:00"/>
    <d v="1899-12-30T00:10:00"/>
    <d v="1899-12-30T00:35:00"/>
    <d v="1899-12-30T11:15:00"/>
    <n v="-6.9444444444466402E-4"/>
    <m/>
    <d v="1899-12-30T10:39:00"/>
    <d v="1899-12-30T00:35:00"/>
    <x v="0"/>
    <x v="0"/>
  </r>
  <r>
    <m/>
    <s v="UPB-Poblado"/>
    <x v="2"/>
    <d v="1899-12-30T10:44:00"/>
    <d v="1899-12-30T00:10:00"/>
    <d v="1899-12-30T00:10:00"/>
    <d v="1899-12-30T00:35:00"/>
    <d v="1899-12-30T11:19:00"/>
    <d v="1899-12-30T00:00:00"/>
    <d v="1899-12-30T00:01:00"/>
    <d v="1899-12-30T10:44:00"/>
    <d v="1899-12-30T00:36:00"/>
    <x v="0"/>
    <x v="0"/>
  </r>
  <r>
    <m/>
    <s v="Poblado-UPB"/>
    <x v="7"/>
    <d v="1899-12-30T10:50:00"/>
    <d v="1899-12-30T00:10:00"/>
    <d v="1899-12-30T00:10:00"/>
    <d v="1899-12-30T00:35:00"/>
    <d v="1899-12-30T11:25:00"/>
    <d v="1899-12-30T00:00:00"/>
    <m/>
    <d v="1899-12-30T10:50:00"/>
    <d v="1899-12-30T00:35:00"/>
    <x v="0"/>
    <x v="0"/>
  </r>
  <r>
    <m/>
    <s v="UPB-Poblado"/>
    <x v="3"/>
    <d v="1899-12-30T10:54:00"/>
    <d v="1899-12-30T00:10:00"/>
    <d v="1899-12-30T00:10:00"/>
    <d v="1899-12-30T00:35:00"/>
    <d v="1899-12-30T11:29:00"/>
    <d v="1899-12-30T00:00:00"/>
    <m/>
    <d v="1899-12-30T10:54:00"/>
    <d v="1899-12-30T00:35:00"/>
    <x v="0"/>
    <x v="0"/>
  </r>
  <r>
    <m/>
    <s v="Poblado-UPB"/>
    <x v="0"/>
    <d v="1899-12-30T10:59:00"/>
    <d v="1899-12-30T00:09:00"/>
    <d v="1899-12-30T00:10:00"/>
    <d v="1899-12-30T00:35:00"/>
    <d v="1899-12-30T11:34:00"/>
    <d v="1899-12-30T00:01:00"/>
    <m/>
    <d v="1899-12-30T11:00:00"/>
    <d v="1899-12-30T00:35:00"/>
    <x v="0"/>
    <x v="0"/>
  </r>
  <r>
    <m/>
    <s v="UPB-Poblado"/>
    <x v="9"/>
    <d v="1899-12-30T11:04:00"/>
    <d v="1899-12-30T00:10:00"/>
    <d v="1899-12-30T00:10:00"/>
    <d v="1899-12-30T00:35:00"/>
    <d v="1899-12-30T11:39:00"/>
    <d v="1899-12-30T00:00:00"/>
    <m/>
    <d v="1899-12-30T11:04:00"/>
    <d v="1899-12-30T00:35:00"/>
    <x v="0"/>
    <x v="0"/>
  </r>
  <r>
    <m/>
    <s v="Poblado-UPB"/>
    <x v="1"/>
    <d v="1899-12-30T11:09:00"/>
    <d v="1899-12-30T00:10:00"/>
    <d v="1899-12-30T00:10:00"/>
    <d v="1899-12-30T00:35:00"/>
    <d v="1899-12-30T11:44:00"/>
    <d v="1899-12-30T00:00:00"/>
    <m/>
    <d v="1899-12-30T11:09:00"/>
    <d v="1899-12-30T00:35:00"/>
    <x v="0"/>
    <x v="0"/>
  </r>
  <r>
    <m/>
    <s v="UPB-Poblado"/>
    <x v="6"/>
    <d v="1899-12-30T11:15:00"/>
    <d v="1899-12-30T00:11:00"/>
    <d v="1899-12-30T00:10:00"/>
    <d v="1899-12-30T00:35:00"/>
    <d v="1899-12-30T11:50:00"/>
    <n v="-6.9444444444466402E-4"/>
    <m/>
    <d v="1899-12-30T11:14:00"/>
    <d v="1899-12-30T00:35:00"/>
    <x v="0"/>
    <x v="0"/>
  </r>
  <r>
    <m/>
    <s v="Poblado-UPB"/>
    <x v="2"/>
    <d v="1899-12-30T11:19:00"/>
    <d v="1899-12-30T00:10:00"/>
    <d v="1899-12-30T00:10:00"/>
    <d v="1899-12-30T00:35:00"/>
    <d v="1899-12-30T11:54:00"/>
    <d v="1899-12-30T00:00:00"/>
    <m/>
    <d v="1899-12-30T11:19:00"/>
    <d v="1899-12-30T00:35:00"/>
    <x v="0"/>
    <x v="0"/>
  </r>
  <r>
    <m/>
    <s v="UPB-Poblado"/>
    <x v="7"/>
    <d v="1899-12-30T11:25:00"/>
    <d v="1899-12-30T00:10:00"/>
    <d v="1899-12-30T00:10:00"/>
    <d v="1899-12-30T00:35:00"/>
    <d v="1899-12-30T12:00:00"/>
    <d v="1899-12-30T00:00:00"/>
    <m/>
    <d v="1899-12-30T11:25:00"/>
    <d v="1899-12-30T00:35:00"/>
    <x v="0"/>
    <x v="0"/>
  </r>
  <r>
    <m/>
    <s v="Poblado-UPB"/>
    <x v="3"/>
    <d v="1899-12-30T11:29:00"/>
    <d v="1899-12-30T00:10:00"/>
    <d v="1899-12-30T00:10:00"/>
    <d v="1899-12-30T00:35:00"/>
    <d v="1899-12-30T12:04:00"/>
    <d v="1899-12-30T00:00:00"/>
    <m/>
    <d v="1899-12-30T11:29:00"/>
    <d v="1899-12-30T00:35:00"/>
    <x v="0"/>
    <x v="0"/>
  </r>
  <r>
    <m/>
    <s v="UPB-Poblado"/>
    <x v="0"/>
    <d v="1899-12-30T11:34:00"/>
    <d v="1899-12-30T00:09:00"/>
    <d v="1899-12-30T00:10:00"/>
    <d v="1899-12-30T00:35:00"/>
    <d v="1899-12-30T12:09:00"/>
    <d v="1899-12-30T00:01:00"/>
    <m/>
    <d v="1899-12-30T11:35:00"/>
    <d v="1899-12-30T00:35:00"/>
    <x v="0"/>
    <x v="0"/>
  </r>
  <r>
    <m/>
    <s v="Poblado-UPB"/>
    <x v="9"/>
    <d v="1899-12-30T11:39:00"/>
    <d v="1899-12-30T00:10:00"/>
    <d v="1899-12-30T00:10:00"/>
    <d v="1899-12-30T00:35:00"/>
    <d v="1899-12-30T12:14:00"/>
    <d v="1899-12-30T00:00:00"/>
    <m/>
    <d v="1899-12-30T11:39:00"/>
    <d v="1899-12-30T00:35:00"/>
    <x v="0"/>
    <x v="0"/>
  </r>
  <r>
    <m/>
    <s v="UPB-Poblado"/>
    <x v="1"/>
    <d v="1899-12-30T11:44:00"/>
    <d v="1899-12-30T00:10:00"/>
    <d v="1899-12-30T00:10:00"/>
    <d v="1899-12-30T00:35:00"/>
    <d v="1899-12-30T12:19:00"/>
    <d v="1899-12-30T00:00:00"/>
    <m/>
    <d v="1899-12-30T11:44:00"/>
    <d v="1899-12-30T00:35:00"/>
    <x v="0"/>
    <x v="0"/>
  </r>
  <r>
    <m/>
    <s v="Poblado-UPB"/>
    <x v="6"/>
    <d v="1899-12-30T11:50:00"/>
    <d v="1899-12-30T00:11:00"/>
    <d v="1899-12-30T00:10:00"/>
    <d v="1899-12-30T00:35:00"/>
    <d v="1899-12-30T12:25:00"/>
    <n v="-6.9444444444466402E-4"/>
    <m/>
    <d v="1899-12-30T11:49:00"/>
    <d v="1899-12-30T00:35:00"/>
    <x v="0"/>
    <x v="0"/>
  </r>
  <r>
    <m/>
    <s v="UPB-Poblado"/>
    <x v="2"/>
    <d v="1899-12-30T11:54:00"/>
    <d v="1899-12-30T00:10:00"/>
    <d v="1899-12-30T00:10:00"/>
    <d v="1899-12-30T00:35:00"/>
    <d v="1899-12-30T12:29:00"/>
    <d v="1899-12-30T00:00:00"/>
    <m/>
    <d v="1899-12-30T11:54:00"/>
    <d v="1899-12-30T00:35:00"/>
    <x v="0"/>
    <x v="0"/>
  </r>
  <r>
    <m/>
    <s v="Poblado-UPB"/>
    <x v="7"/>
    <d v="1899-12-30T12:00:00"/>
    <d v="1899-12-30T00:10:00"/>
    <d v="1899-12-30T00:10:00"/>
    <d v="1899-12-30T00:35:00"/>
    <d v="1899-12-30T12:35:00"/>
    <d v="1899-12-30T00:00:00"/>
    <m/>
    <d v="1899-12-30T12:00:00"/>
    <d v="1899-12-30T00:35:00"/>
    <x v="0"/>
    <x v="0"/>
  </r>
  <r>
    <m/>
    <s v="UPB-Poblado"/>
    <x v="3"/>
    <d v="1899-12-30T12:04:00"/>
    <d v="1899-12-30T00:10:00"/>
    <d v="1899-12-30T00:10:00"/>
    <d v="1899-12-30T00:35:00"/>
    <d v="1899-12-30T12:39:00"/>
    <d v="1899-12-30T00:00:00"/>
    <m/>
    <d v="1899-12-30T12:04:00"/>
    <d v="1899-12-30T00:35:00"/>
    <x v="0"/>
    <x v="0"/>
  </r>
  <r>
    <s v="R"/>
    <s v="Poblado-UPB"/>
    <x v="0"/>
    <d v="1899-12-30T12:09:00"/>
    <d v="1899-12-30T00:09:00"/>
    <d v="1899-12-30T00:10:00"/>
    <d v="1899-12-30T00:35:00"/>
    <d v="1899-12-30T12:44:00"/>
    <d v="1899-12-30T00:01:00"/>
    <m/>
    <d v="1899-12-30T12:10:00"/>
    <d v="1899-12-30T00:35:00"/>
    <x v="0"/>
    <x v="0"/>
  </r>
  <r>
    <m/>
    <s v="UPB-Poblado"/>
    <x v="9"/>
    <d v="1899-12-30T12:14:00"/>
    <d v="1899-12-30T00:10:00"/>
    <d v="1899-12-30T00:10:00"/>
    <d v="1899-12-30T00:35:00"/>
    <d v="1899-12-30T12:49:00"/>
    <d v="1899-12-30T00:00:00"/>
    <m/>
    <d v="1899-12-30T12:14:00"/>
    <d v="1899-12-30T00:35:00"/>
    <x v="0"/>
    <x v="0"/>
  </r>
  <r>
    <s v="R"/>
    <s v="Poblado-UPB"/>
    <x v="1"/>
    <d v="1899-12-30T12:19:00"/>
    <d v="1899-12-30T00:10:00"/>
    <d v="1899-12-30T00:10:00"/>
    <d v="1899-12-30T00:35:00"/>
    <d v="1899-12-30T12:54:00"/>
    <d v="1899-12-30T00:00:00"/>
    <m/>
    <d v="1899-12-30T12:19:00"/>
    <d v="1899-12-30T00:35:00"/>
    <x v="0"/>
    <x v="0"/>
  </r>
  <r>
    <m/>
    <s v="UPB-Poblado"/>
    <x v="6"/>
    <d v="1899-12-30T12:25:00"/>
    <d v="1899-12-30T00:11:00"/>
    <d v="1899-12-30T00:10:00"/>
    <d v="1899-12-30T00:35:00"/>
    <d v="1899-12-30T13:00:00"/>
    <n v="-6.9444444444466402E-4"/>
    <m/>
    <d v="1899-12-30T12:24:00"/>
    <d v="1899-12-30T00:35:00"/>
    <x v="0"/>
    <x v="0"/>
  </r>
  <r>
    <s v="R"/>
    <s v="Poblado-UPB"/>
    <x v="2"/>
    <d v="1899-12-30T12:29:00"/>
    <d v="1899-12-30T00:10:00"/>
    <d v="1899-12-30T00:10:00"/>
    <d v="1899-12-30T00:35:00"/>
    <d v="1899-12-30T13:04:00"/>
    <d v="1899-12-30T00:00:00"/>
    <m/>
    <d v="1899-12-30T12:29:00"/>
    <d v="1899-12-30T00:35:00"/>
    <x v="0"/>
    <x v="0"/>
  </r>
  <r>
    <m/>
    <s v="UPB-Poblado"/>
    <x v="7"/>
    <d v="1899-12-30T12:35:00"/>
    <d v="1899-12-30T00:10:00"/>
    <d v="1899-12-30T00:10:00"/>
    <d v="1899-12-30T00:35:00"/>
    <d v="1899-12-30T13:10:00"/>
    <d v="1899-12-30T00:00:00"/>
    <m/>
    <d v="1899-12-30T12:35:00"/>
    <d v="1899-12-30T00:35:00"/>
    <x v="0"/>
    <x v="0"/>
  </r>
  <r>
    <s v="R"/>
    <s v="Poblado-UPB"/>
    <x v="3"/>
    <d v="1899-12-30T12:39:00"/>
    <d v="1899-12-30T00:10:00"/>
    <d v="1899-12-30T00:10:00"/>
    <d v="1899-12-30T00:35:00"/>
    <d v="1899-12-30T13:14:00"/>
    <d v="1899-12-30T00:00:00"/>
    <m/>
    <d v="1899-12-30T12:39:00"/>
    <d v="1899-12-30T00:35:00"/>
    <x v="0"/>
    <x v="0"/>
  </r>
  <r>
    <m/>
    <s v="UPB-Poblado"/>
    <x v="0"/>
    <d v="1899-12-30T12:44:00"/>
    <d v="1899-12-30T00:09:00"/>
    <d v="1899-12-30T00:10:00"/>
    <d v="1899-12-30T00:35:00"/>
    <d v="1899-12-30T13:19:00"/>
    <d v="1899-12-30T00:01:00"/>
    <m/>
    <d v="1899-12-30T12:45:00"/>
    <d v="1899-12-30T00:35:00"/>
    <x v="0"/>
    <x v="1"/>
  </r>
  <r>
    <s v="R"/>
    <s v="Poblado-UPB"/>
    <x v="9"/>
    <d v="1899-12-30T12:49:00"/>
    <d v="1899-12-30T00:10:00"/>
    <d v="1899-12-30T00:10:00"/>
    <d v="1899-12-30T00:35:00"/>
    <d v="1899-12-30T13:24:00"/>
    <d v="1899-12-30T00:00:00"/>
    <m/>
    <d v="1899-12-30T12:49:00"/>
    <d v="1899-12-30T00:35:00"/>
    <x v="0"/>
    <x v="0"/>
  </r>
  <r>
    <m/>
    <s v="UPB-Poblado"/>
    <x v="1"/>
    <d v="1899-12-30T12:54:00"/>
    <d v="1899-12-30T00:10:00"/>
    <d v="1899-12-30T00:10:00"/>
    <d v="1899-12-30T00:35:00"/>
    <d v="1899-12-30T13:29:00"/>
    <d v="1899-12-30T00:00:00"/>
    <m/>
    <d v="1899-12-30T12:54:00"/>
    <d v="1899-12-30T00:35:00"/>
    <x v="0"/>
    <x v="1"/>
  </r>
  <r>
    <s v="R"/>
    <s v="Poblado-UPB"/>
    <x v="6"/>
    <d v="1899-12-30T13:00:00"/>
    <d v="1899-12-30T00:11:00"/>
    <d v="1899-12-30T00:10:00"/>
    <d v="1899-12-30T00:35:00"/>
    <d v="1899-12-30T13:35:00"/>
    <n v="-6.9444444444466402E-4"/>
    <m/>
    <d v="1899-12-30T12:59:00"/>
    <d v="1899-12-30T00:35:00"/>
    <x v="0"/>
    <x v="0"/>
  </r>
  <r>
    <m/>
    <s v="UPB-Poblado"/>
    <x v="2"/>
    <d v="1899-12-30T13:04:00"/>
    <d v="1899-12-30T00:10:00"/>
    <d v="1899-12-30T00:10:00"/>
    <d v="1899-12-30T00:35:00"/>
    <d v="1899-12-30T13:39:00"/>
    <d v="1899-12-30T00:00:00"/>
    <m/>
    <d v="1899-12-30T13:04:00"/>
    <d v="1899-12-30T00:35:00"/>
    <x v="0"/>
    <x v="1"/>
  </r>
  <r>
    <s v="R"/>
    <s v="Poblado-UPB"/>
    <x v="7"/>
    <d v="1899-12-30T13:10:00"/>
    <d v="1899-12-30T00:10:00"/>
    <d v="1899-12-30T00:10:00"/>
    <d v="1899-12-30T00:35:00"/>
    <d v="1899-12-30T13:45:00"/>
    <d v="1899-12-30T00:00:00"/>
    <m/>
    <d v="1899-12-30T13:10:00"/>
    <d v="1899-12-30T00:35:00"/>
    <x v="0"/>
    <x v="0"/>
  </r>
  <r>
    <m/>
    <s v="UPB-Poblado"/>
    <x v="3"/>
    <d v="1899-12-30T13:14:00"/>
    <d v="1899-12-30T00:10:00"/>
    <d v="1899-12-30T00:10:00"/>
    <d v="1899-12-30T00:35:00"/>
    <d v="1899-12-30T13:49:00"/>
    <d v="1899-12-30T00:00:00"/>
    <m/>
    <d v="1899-12-30T13:14:00"/>
    <d v="1899-12-30T00:35:00"/>
    <x v="0"/>
    <x v="1"/>
  </r>
  <r>
    <m/>
    <s v="Poblado-UPB"/>
    <x v="0"/>
    <d v="1899-12-30T13:19:00"/>
    <d v="1899-12-30T00:09:00"/>
    <d v="1899-12-30T00:10:00"/>
    <d v="1899-12-30T00:35:00"/>
    <d v="1899-12-30T13:54:00"/>
    <d v="1899-12-30T00:01:00"/>
    <m/>
    <d v="1899-12-30T13:20:00"/>
    <d v="1899-12-30T00:35:00"/>
    <x v="0"/>
    <x v="1"/>
  </r>
  <r>
    <m/>
    <s v="UPB-Poblado"/>
    <x v="9"/>
    <d v="1899-12-30T13:24:00"/>
    <d v="1899-12-30T00:10:00"/>
    <d v="1899-12-30T00:10:00"/>
    <d v="1899-12-30T00:35:00"/>
    <d v="1899-12-30T13:59:00"/>
    <d v="1899-12-30T00:00:00"/>
    <m/>
    <d v="1899-12-30T13:24:00"/>
    <d v="1899-12-30T00:35:00"/>
    <x v="0"/>
    <x v="1"/>
  </r>
  <r>
    <m/>
    <s v="Poblado-UPB"/>
    <x v="1"/>
    <d v="1899-12-30T13:29:00"/>
    <d v="1899-12-30T00:10:00"/>
    <d v="1899-12-30T00:10:00"/>
    <d v="1899-12-30T00:35:00"/>
    <d v="1899-12-30T14:04:00"/>
    <d v="1899-12-30T00:00:00"/>
    <m/>
    <d v="1899-12-30T13:29:00"/>
    <d v="1899-12-30T00:35:00"/>
    <x v="0"/>
    <x v="1"/>
  </r>
  <r>
    <m/>
    <s v="UPB-Poblado"/>
    <x v="6"/>
    <d v="1899-12-30T13:35:00"/>
    <d v="1899-12-30T00:11:00"/>
    <d v="1899-12-30T00:10:00"/>
    <d v="1899-12-30T00:35:00"/>
    <d v="1899-12-30T14:10:00"/>
    <n v="-6.9444444444466402E-4"/>
    <m/>
    <d v="1899-12-30T13:34:00"/>
    <d v="1899-12-30T00:35:00"/>
    <x v="0"/>
    <x v="1"/>
  </r>
  <r>
    <m/>
    <s v="Poblado-UPB"/>
    <x v="2"/>
    <d v="1899-12-30T13:39:00"/>
    <d v="1899-12-30T00:10:00"/>
    <d v="1899-12-30T00:10:00"/>
    <d v="1899-12-30T00:35:00"/>
    <d v="1899-12-30T14:14:00"/>
    <d v="1899-12-30T00:00:00"/>
    <m/>
    <d v="1899-12-30T13:39:00"/>
    <d v="1899-12-30T00:35:00"/>
    <x v="0"/>
    <x v="1"/>
  </r>
  <r>
    <m/>
    <s v="UPB-Poblado"/>
    <x v="7"/>
    <d v="1899-12-30T13:45:00"/>
    <d v="1899-12-30T00:10:00"/>
    <d v="1899-12-30T00:10:00"/>
    <d v="1899-12-30T00:35:00"/>
    <d v="1899-12-30T14:20:00"/>
    <d v="1899-12-30T00:00:00"/>
    <m/>
    <d v="1899-12-30T13:45:00"/>
    <d v="1899-12-30T00:35:00"/>
    <x v="0"/>
    <x v="1"/>
  </r>
  <r>
    <m/>
    <s v="Poblado-UPB"/>
    <x v="3"/>
    <d v="1899-12-30T13:49:00"/>
    <d v="1899-12-30T00:10:00"/>
    <d v="1899-12-30T00:10:00"/>
    <d v="1899-12-30T00:35:00"/>
    <d v="1899-12-30T14:24:00"/>
    <d v="1899-12-30T00:00:00"/>
    <m/>
    <d v="1899-12-30T13:49:00"/>
    <d v="1899-12-30T00:35:00"/>
    <x v="0"/>
    <x v="1"/>
  </r>
  <r>
    <m/>
    <s v="UPB-Poblado"/>
    <x v="0"/>
    <d v="1899-12-30T13:54:00"/>
    <d v="1899-12-30T00:09:00"/>
    <d v="1899-12-30T00:10:00"/>
    <d v="1899-12-30T00:35:00"/>
    <d v="1899-12-30T14:29:00"/>
    <d v="1899-12-30T00:01:00"/>
    <m/>
    <d v="1899-12-30T13:55:00"/>
    <d v="1899-12-30T00:35:00"/>
    <x v="0"/>
    <x v="1"/>
  </r>
  <r>
    <m/>
    <s v="Poblado-UPB"/>
    <x v="9"/>
    <d v="1899-12-30T13:59:00"/>
    <d v="1899-12-30T00:10:00"/>
    <d v="1899-12-30T00:10:00"/>
    <d v="1899-12-30T00:35:00"/>
    <d v="1899-12-30T14:34:00"/>
    <d v="1899-12-30T00:00:00"/>
    <m/>
    <d v="1899-12-30T13:59:00"/>
    <d v="1899-12-30T00:35:00"/>
    <x v="0"/>
    <x v="1"/>
  </r>
  <r>
    <m/>
    <s v="UPB-Poblado"/>
    <x v="1"/>
    <d v="1899-12-30T14:04:00"/>
    <d v="1899-12-30T00:10:00"/>
    <d v="1899-12-30T00:10:00"/>
    <d v="1899-12-30T00:35:00"/>
    <d v="1899-12-30T14:39:00"/>
    <d v="1899-12-30T00:00:00"/>
    <m/>
    <d v="1899-12-30T14:04:00"/>
    <d v="1899-12-30T00:35:00"/>
    <x v="0"/>
    <x v="1"/>
  </r>
  <r>
    <m/>
    <s v="Poblado-UPB"/>
    <x v="6"/>
    <d v="1899-12-30T14:10:00"/>
    <d v="1899-12-30T00:11:00"/>
    <d v="1899-12-30T00:10:00"/>
    <d v="1899-12-30T00:35:00"/>
    <d v="1899-12-30T14:45:00"/>
    <n v="-6.9444444444466402E-4"/>
    <m/>
    <d v="1899-12-30T14:09:00"/>
    <d v="1899-12-30T00:35:00"/>
    <x v="0"/>
    <x v="1"/>
  </r>
  <r>
    <m/>
    <s v="UPB-Poblado"/>
    <x v="2"/>
    <d v="1899-12-30T14:14:00"/>
    <d v="1899-12-30T00:10:00"/>
    <d v="1899-12-30T00:10:00"/>
    <d v="1899-12-30T00:35:00"/>
    <d v="1899-12-30T14:49:00"/>
    <d v="1899-12-30T00:00:00"/>
    <m/>
    <d v="1899-12-30T14:14:00"/>
    <d v="1899-12-30T00:35:00"/>
    <x v="0"/>
    <x v="1"/>
  </r>
  <r>
    <m/>
    <s v="Poblado-UPB"/>
    <x v="7"/>
    <d v="1899-12-30T14:20:00"/>
    <d v="1899-12-30T00:10:00"/>
    <d v="1899-12-30T00:10:00"/>
    <d v="1899-12-30T00:35:00"/>
    <d v="1899-12-30T14:55:00"/>
    <d v="1899-12-30T00:00:00"/>
    <m/>
    <d v="1899-12-30T14:20:00"/>
    <d v="1899-12-30T00:35:00"/>
    <x v="0"/>
    <x v="1"/>
  </r>
  <r>
    <m/>
    <s v="UPB-Poblado"/>
    <x v="3"/>
    <d v="1899-12-30T14:24:00"/>
    <d v="1899-12-30T00:10:00"/>
    <d v="1899-12-30T00:10:00"/>
    <d v="1899-12-30T00:35:00"/>
    <d v="1899-12-30T14:59:00"/>
    <d v="1899-12-30T00:00:00"/>
    <m/>
    <d v="1899-12-30T14:24:00"/>
    <d v="1899-12-30T00:35:00"/>
    <x v="0"/>
    <x v="1"/>
  </r>
  <r>
    <m/>
    <s v="Poblado-UPB"/>
    <x v="0"/>
    <d v="1899-12-30T14:29:00"/>
    <d v="1899-12-30T00:09:00"/>
    <d v="1899-12-30T00:10:00"/>
    <d v="1899-12-30T00:35:00"/>
    <d v="1899-12-30T15:04:00"/>
    <d v="1899-12-30T00:01:00"/>
    <m/>
    <d v="1899-12-30T14:30:00"/>
    <d v="1899-12-30T00:35:00"/>
    <x v="0"/>
    <x v="1"/>
  </r>
  <r>
    <m/>
    <s v="UPB-Poblado"/>
    <x v="9"/>
    <d v="1899-12-30T14:34:00"/>
    <d v="1899-12-30T00:10:00"/>
    <d v="1899-12-30T00:10:00"/>
    <d v="1899-12-30T00:35:00"/>
    <d v="1899-12-30T15:09:00"/>
    <d v="1899-12-30T00:00:00"/>
    <m/>
    <d v="1899-12-30T14:34:00"/>
    <d v="1899-12-30T00:35:00"/>
    <x v="0"/>
    <x v="1"/>
  </r>
  <r>
    <m/>
    <s v="Poblado-UPB"/>
    <x v="1"/>
    <d v="1899-12-30T14:39:00"/>
    <d v="1899-12-30T00:10:00"/>
    <d v="1899-12-30T00:10:00"/>
    <d v="1899-12-30T00:35:00"/>
    <d v="1899-12-30T15:14:00"/>
    <d v="1899-12-30T00:00:00"/>
    <m/>
    <d v="1899-12-30T14:39:00"/>
    <d v="1899-12-30T00:35:00"/>
    <x v="0"/>
    <x v="1"/>
  </r>
  <r>
    <m/>
    <s v="UPB-Poblado"/>
    <x v="6"/>
    <d v="1899-12-30T14:45:00"/>
    <d v="1899-12-30T00:11:00"/>
    <d v="1899-12-30T00:10:00"/>
    <d v="1899-12-30T00:35:00"/>
    <d v="1899-12-30T15:20:00"/>
    <n v="-6.9444444444466402E-4"/>
    <m/>
    <d v="1899-12-30T14:44:00"/>
    <d v="1899-12-30T00:35:00"/>
    <x v="0"/>
    <x v="1"/>
  </r>
  <r>
    <m/>
    <s v="Poblado-UPB"/>
    <x v="2"/>
    <d v="1899-12-30T14:49:00"/>
    <d v="1899-12-30T00:10:00"/>
    <d v="1899-12-30T00:10:00"/>
    <d v="1899-12-30T00:35:00"/>
    <d v="1899-12-30T15:24:00"/>
    <d v="1899-12-30T00:00:00"/>
    <m/>
    <d v="1899-12-30T14:49:00"/>
    <d v="1899-12-30T00:35:00"/>
    <x v="0"/>
    <x v="1"/>
  </r>
  <r>
    <m/>
    <s v="UPB-Poblado"/>
    <x v="7"/>
    <d v="1899-12-30T14:55:00"/>
    <d v="1899-12-30T00:10:00"/>
    <d v="1899-12-30T00:10:00"/>
    <d v="1899-12-30T00:35:00"/>
    <d v="1899-12-30T15:30:00"/>
    <d v="1899-12-30T00:00:00"/>
    <m/>
    <d v="1899-12-30T14:55:00"/>
    <d v="1899-12-30T00:35:00"/>
    <x v="0"/>
    <x v="1"/>
  </r>
  <r>
    <m/>
    <s v="Poblado-UPB"/>
    <x v="3"/>
    <d v="1899-12-30T14:59:00"/>
    <d v="1899-12-30T00:10:00"/>
    <d v="1899-12-30T00:10:00"/>
    <d v="1899-12-30T00:35:00"/>
    <d v="1899-12-30T15:34:00"/>
    <d v="1899-12-30T00:00:00"/>
    <m/>
    <d v="1899-12-30T14:59:00"/>
    <d v="1899-12-30T00:35:00"/>
    <x v="0"/>
    <x v="1"/>
  </r>
  <r>
    <m/>
    <s v="UPB-Poblado"/>
    <x v="0"/>
    <d v="1899-12-30T15:04:00"/>
    <d v="1899-12-30T00:09:00"/>
    <d v="1899-12-30T00:07:00"/>
    <d v="1899-12-30T00:35:00"/>
    <d v="1899-12-30T15:39:00"/>
    <n v="-1.388888888888995E-3"/>
    <m/>
    <d v="1899-12-30T15:02:00"/>
    <d v="1899-12-30T00:35:00"/>
    <x v="0"/>
    <x v="1"/>
  </r>
  <r>
    <m/>
    <s v="Poblado-UPB"/>
    <x v="9"/>
    <d v="1899-12-30T15:09:00"/>
    <d v="1899-12-30T00:10:00"/>
    <d v="1899-12-30T00:10:00"/>
    <d v="1899-12-30T00:35:00"/>
    <d v="1899-12-30T15:44:00"/>
    <d v="1899-12-30T00:00:00"/>
    <m/>
    <d v="1899-12-30T15:09:00"/>
    <d v="1899-12-30T00:35:00"/>
    <x v="0"/>
    <x v="1"/>
  </r>
  <r>
    <s v="i"/>
    <s v="UPB-Poblado"/>
    <x v="8"/>
    <d v="1899-12-30T15:11:00"/>
    <d v="1899-12-30T00:07:00"/>
    <d v="1899-12-30T00:07:00"/>
    <d v="1899-12-30T00:35:00"/>
    <d v="1899-12-30T15:46:00"/>
    <d v="1899-12-30T00:00:00"/>
    <m/>
    <d v="1899-12-30T15:11:00"/>
    <d v="1899-12-30T00:35:00"/>
    <x v="1"/>
    <x v="1"/>
  </r>
  <r>
    <m/>
    <s v="UPB-Poblado"/>
    <x v="1"/>
    <d v="1899-12-30T15:18:00"/>
    <d v="1899-12-30T00:07:00"/>
    <d v="1899-12-30T00:07:00"/>
    <d v="1899-12-30T00:35:00"/>
    <d v="1899-12-30T15:53:00"/>
    <d v="1899-12-30T00:00:00"/>
    <d v="1899-12-30T00:04:00"/>
    <d v="1899-12-30T15:18:00"/>
    <d v="1899-12-30T00:39:00"/>
    <x v="0"/>
    <x v="1"/>
  </r>
  <r>
    <m/>
    <s v="Poblado-UPB"/>
    <x v="6"/>
    <d v="1899-12-30T15:20:00"/>
    <d v="1899-12-30T00:11:00"/>
    <d v="1899-12-30T00:10:00"/>
    <d v="1899-12-30T00:35:00"/>
    <d v="1899-12-30T15:55:00"/>
    <n v="-6.9444444444466402E-4"/>
    <m/>
    <d v="1899-12-30T15:19:00"/>
    <d v="1899-12-30T00:35:00"/>
    <x v="0"/>
    <x v="1"/>
  </r>
  <r>
    <m/>
    <s v="UPB-Poblado"/>
    <x v="2"/>
    <d v="1899-12-30T15:25:00"/>
    <d v="1899-12-30T00:07:00"/>
    <d v="1899-12-30T00:07:00"/>
    <d v="1899-12-30T00:35:00"/>
    <d v="1899-12-30T16:00:00"/>
    <d v="1899-12-30T00:00:00"/>
    <d v="1899-12-30T00:01:00"/>
    <d v="1899-12-30T15:25:00"/>
    <d v="1899-12-30T00:36:00"/>
    <x v="0"/>
    <x v="1"/>
  </r>
  <r>
    <m/>
    <s v="Poblado-UPB"/>
    <x v="7"/>
    <d v="1899-12-30T15:30:00"/>
    <d v="1899-12-30T00:10:00"/>
    <d v="1899-12-30T00:10:00"/>
    <d v="1899-12-30T00:35:00"/>
    <d v="1899-12-30T16:05:00"/>
    <d v="1899-12-30T00:00:00"/>
    <m/>
    <d v="1899-12-30T15:30:00"/>
    <d v="1899-12-30T00:35:00"/>
    <x v="0"/>
    <x v="1"/>
  </r>
  <r>
    <s v="i"/>
    <s v="UPB-Poblado"/>
    <x v="4"/>
    <d v="1899-12-30T15:32:00"/>
    <d v="1899-12-30T00:07:00"/>
    <d v="1899-12-30T00:07:00"/>
    <d v="1899-12-30T00:35:00"/>
    <d v="1899-12-30T16:07:00"/>
    <d v="1899-12-30T00:00:00"/>
    <m/>
    <d v="1899-12-30T15:32:00"/>
    <d v="1899-12-30T00:35:00"/>
    <x v="1"/>
    <x v="1"/>
  </r>
  <r>
    <m/>
    <s v="UPB-Poblado"/>
    <x v="3"/>
    <d v="1899-12-30T15:39:00"/>
    <d v="1899-12-30T00:07:00"/>
    <d v="1899-12-30T00:07:00"/>
    <d v="1899-12-30T00:35:00"/>
    <d v="1899-12-30T16:14:00"/>
    <d v="1899-12-30T00:00:00"/>
    <d v="1899-12-30T00:05:00"/>
    <d v="1899-12-30T15:39:00"/>
    <d v="1899-12-30T00:40:00"/>
    <x v="0"/>
    <x v="1"/>
  </r>
  <r>
    <m/>
    <s v="Poblado-UPB"/>
    <x v="0"/>
    <d v="1899-12-30T15:39:00"/>
    <d v="1899-12-30T00:09:00"/>
    <d v="1899-12-30T00:10:00"/>
    <d v="1899-12-30T00:35:00"/>
    <d v="1899-12-30T16:14:00"/>
    <d v="1899-12-30T00:01:00"/>
    <m/>
    <d v="1899-12-30T15:40:00"/>
    <d v="1899-12-30T00:35:00"/>
    <x v="0"/>
    <x v="1"/>
  </r>
  <r>
    <m/>
    <s v="Poblado-UPB"/>
    <x v="8"/>
    <d v="1899-12-30T15:46:00"/>
    <d v="1899-12-30T00:07:00"/>
    <d v="1899-12-30T00:07:00"/>
    <d v="1899-12-30T00:35:00"/>
    <d v="1899-12-30T16:21:00"/>
    <d v="1899-12-30T00:00:00"/>
    <m/>
    <d v="1899-12-30T15:46:00"/>
    <d v="1899-12-30T00:35:00"/>
    <x v="1"/>
    <x v="1"/>
  </r>
  <r>
    <m/>
    <s v="UPB-Poblado"/>
    <x v="9"/>
    <d v="1899-12-30T15:46:00"/>
    <d v="1899-12-30T00:07:00"/>
    <d v="1899-12-30T00:07:00"/>
    <d v="1899-12-30T00:35:00"/>
    <d v="1899-12-30T16:21:00"/>
    <d v="1899-12-30T00:00:00"/>
    <d v="1899-12-30T00:02:00"/>
    <d v="1899-12-30T15:46:00"/>
    <d v="1899-12-30T00:37:00"/>
    <x v="0"/>
    <x v="1"/>
  </r>
  <r>
    <m/>
    <s v="Poblado-UPB"/>
    <x v="1"/>
    <d v="1899-12-30T15:53:00"/>
    <d v="1899-12-30T00:07:00"/>
    <d v="1899-12-30T00:07:00"/>
    <d v="1899-12-30T00:35:00"/>
    <d v="1899-12-30T16:28:00"/>
    <d v="1899-12-30T00:00:00"/>
    <m/>
    <d v="1899-12-30T15:53:00"/>
    <d v="1899-12-30T00:35:00"/>
    <x v="0"/>
    <x v="1"/>
  </r>
  <r>
    <s v="i"/>
    <s v="UPB-Poblado"/>
    <x v="5"/>
    <d v="1899-12-30T15:53:00"/>
    <d v="1899-12-30T00:07:00"/>
    <d v="1899-12-30T00:07:00"/>
    <d v="1899-12-30T00:35:00"/>
    <d v="1899-12-30T16:28:00"/>
    <d v="1899-12-30T00:00:00"/>
    <m/>
    <d v="1899-12-30T15:53:00"/>
    <d v="1899-12-30T00:35:00"/>
    <x v="1"/>
    <x v="1"/>
  </r>
  <r>
    <m/>
    <s v="UPB-Poblado"/>
    <x v="6"/>
    <d v="1899-12-30T16:00:00"/>
    <d v="1899-12-30T00:07:00"/>
    <d v="1899-12-30T00:07:00"/>
    <d v="1899-12-30T00:35:00"/>
    <d v="1899-12-30T16:35:00"/>
    <d v="1899-12-30T00:00:00"/>
    <d v="1899-12-30T00:05:00"/>
    <d v="1899-12-30T16:00:00"/>
    <d v="1899-12-30T00:40:00"/>
    <x v="0"/>
    <x v="1"/>
  </r>
  <r>
    <m/>
    <s v="Poblado-UPB"/>
    <x v="2"/>
    <d v="1899-12-30T16:00:00"/>
    <d v="1899-12-30T00:07:00"/>
    <d v="1899-12-30T00:07:00"/>
    <d v="1899-12-30T00:35:00"/>
    <d v="1899-12-30T16:35:00"/>
    <d v="1899-12-30T00:00:00"/>
    <m/>
    <d v="1899-12-30T16:00:00"/>
    <d v="1899-12-30T00:35:00"/>
    <x v="0"/>
    <x v="1"/>
  </r>
  <r>
    <m/>
    <s v="UPB-Poblado"/>
    <x v="7"/>
    <d v="1899-12-30T16:07:00"/>
    <d v="1899-12-30T00:07:00"/>
    <d v="1899-12-30T00:07:00"/>
    <d v="1899-12-30T00:35:00"/>
    <d v="1899-12-30T16:42:00"/>
    <d v="1899-12-30T00:00:00"/>
    <d v="1899-12-30T00:02:00"/>
    <d v="1899-12-30T16:07:00"/>
    <d v="1899-12-30T00:37:00"/>
    <x v="0"/>
    <x v="1"/>
  </r>
  <r>
    <m/>
    <s v="Poblado-UPB"/>
    <x v="4"/>
    <d v="1899-12-30T16:07:00"/>
    <d v="1899-12-30T00:07:00"/>
    <d v="1899-12-30T00:07:00"/>
    <d v="1899-12-30T00:35:00"/>
    <d v="1899-12-30T16:42:00"/>
    <d v="1899-12-30T00:00:00"/>
    <m/>
    <d v="1899-12-30T16:07:00"/>
    <d v="1899-12-30T00:35:00"/>
    <x v="1"/>
    <x v="1"/>
  </r>
  <r>
    <m/>
    <s v="Poblado-UPB"/>
    <x v="3"/>
    <d v="1899-12-30T16:14:00"/>
    <d v="1899-12-30T00:07:00"/>
    <d v="1899-12-30T00:07:00"/>
    <d v="1899-12-30T00:35:00"/>
    <d v="1899-12-30T16:49:00"/>
    <d v="1899-12-30T00:00:00"/>
    <m/>
    <d v="1899-12-30T16:14:00"/>
    <d v="1899-12-30T00:35:00"/>
    <x v="0"/>
    <x v="1"/>
  </r>
  <r>
    <m/>
    <s v="UPB-Poblado"/>
    <x v="0"/>
    <d v="1899-12-30T16:14:00"/>
    <d v="1899-12-30T00:07:00"/>
    <d v="1899-12-30T00:07:00"/>
    <d v="1899-12-30T00:35:00"/>
    <d v="1899-12-30T16:49:00"/>
    <d v="1899-12-30T00:00:00"/>
    <m/>
    <d v="1899-12-30T16:14:00"/>
    <d v="1899-12-30T00:35:00"/>
    <x v="0"/>
    <x v="1"/>
  </r>
  <r>
    <m/>
    <s v="Poblado-UPB"/>
    <x v="9"/>
    <d v="1899-12-30T16:21:00"/>
    <d v="1899-12-30T00:07:00"/>
    <d v="1899-12-30T00:07:00"/>
    <d v="1899-12-30T00:35:00"/>
    <d v="1899-12-30T16:56:00"/>
    <d v="1899-12-30T00:00:00"/>
    <m/>
    <d v="1899-12-30T16:21:00"/>
    <d v="1899-12-30T00:35:00"/>
    <x v="0"/>
    <x v="1"/>
  </r>
  <r>
    <m/>
    <s v="UPB-Poblado"/>
    <x v="8"/>
    <d v="1899-12-30T16:21:00"/>
    <d v="1899-12-30T00:07:00"/>
    <d v="1899-12-30T00:07:00"/>
    <d v="1899-12-30T00:35:00"/>
    <d v="1899-12-30T16:56:00"/>
    <d v="1899-12-30T00:00:00"/>
    <m/>
    <d v="1899-12-30T16:21:00"/>
    <d v="1899-12-30T00:35:00"/>
    <x v="1"/>
    <x v="1"/>
  </r>
  <r>
    <m/>
    <s v="Poblado-UPB"/>
    <x v="5"/>
    <d v="1899-12-30T16:28:00"/>
    <d v="1899-12-30T00:07:00"/>
    <d v="1899-12-30T00:07:00"/>
    <d v="1899-12-30T00:35:00"/>
    <d v="1899-12-30T17:03:00"/>
    <d v="1899-12-30T00:00:00"/>
    <m/>
    <d v="1899-12-30T16:28:00"/>
    <d v="1899-12-30T00:35:00"/>
    <x v="1"/>
    <x v="1"/>
  </r>
  <r>
    <m/>
    <s v="UPB-Poblado"/>
    <x v="1"/>
    <d v="1899-12-30T16:28:00"/>
    <d v="1899-12-30T00:07:00"/>
    <d v="1899-12-30T00:07:00"/>
    <d v="1899-12-30T00:35:00"/>
    <d v="1899-12-30T17:03:00"/>
    <d v="1899-12-30T00:00:00"/>
    <m/>
    <d v="1899-12-30T16:28:00"/>
    <d v="1899-12-30T00:35:00"/>
    <x v="0"/>
    <x v="1"/>
  </r>
  <r>
    <m/>
    <s v="Poblado-UPB"/>
    <x v="6"/>
    <d v="1899-12-30T16:35:00"/>
    <d v="1899-12-30T00:07:00"/>
    <d v="1899-12-30T00:07:00"/>
    <d v="1899-12-30T00:35:00"/>
    <d v="1899-12-30T17:10:00"/>
    <d v="1899-12-30T00:00:00"/>
    <m/>
    <d v="1899-12-30T16:35:00"/>
    <d v="1899-12-30T00:35:00"/>
    <x v="0"/>
    <x v="1"/>
  </r>
  <r>
    <m/>
    <s v="UPB-Poblado"/>
    <x v="2"/>
    <d v="1899-12-30T16:35:00"/>
    <d v="1899-12-30T00:07:00"/>
    <d v="1899-12-30T00:07:00"/>
    <d v="1899-12-30T00:35:00"/>
    <d v="1899-12-30T17:10:00"/>
    <d v="1899-12-30T00:00:00"/>
    <m/>
    <d v="1899-12-30T16:35:00"/>
    <d v="1899-12-30T00:35:00"/>
    <x v="0"/>
    <x v="1"/>
  </r>
  <r>
    <m/>
    <s v="Poblado-UPB"/>
    <x v="7"/>
    <d v="1899-12-30T16:42:00"/>
    <d v="1899-12-30T00:07:00"/>
    <d v="1899-12-30T00:07:00"/>
    <d v="1899-12-30T00:35:00"/>
    <d v="1899-12-30T17:17:00"/>
    <d v="1899-12-30T00:00:00"/>
    <m/>
    <d v="1899-12-30T16:42:00"/>
    <d v="1899-12-30T00:35:00"/>
    <x v="0"/>
    <x v="1"/>
  </r>
  <r>
    <m/>
    <s v="UPB-Poblado"/>
    <x v="4"/>
    <d v="1899-12-30T16:42:00"/>
    <d v="1899-12-30T00:07:00"/>
    <d v="1899-12-30T00:07:00"/>
    <d v="1899-12-30T00:35:00"/>
    <d v="1899-12-30T17:17:00"/>
    <d v="1899-12-30T00:00:00"/>
    <m/>
    <d v="1899-12-30T16:42:00"/>
    <d v="1899-12-30T00:35:00"/>
    <x v="1"/>
    <x v="1"/>
  </r>
  <r>
    <m/>
    <s v="UPB-Poblado"/>
    <x v="3"/>
    <d v="1899-12-30T16:49:00"/>
    <d v="1899-12-30T00:07:00"/>
    <d v="1899-12-30T00:07:00"/>
    <d v="1899-12-30T00:35:00"/>
    <d v="1899-12-30T17:24:00"/>
    <d v="1899-12-30T00:00:00"/>
    <m/>
    <d v="1899-12-30T16:49:00"/>
    <d v="1899-12-30T00:35:00"/>
    <x v="0"/>
    <x v="1"/>
  </r>
  <r>
    <m/>
    <s v="Poblado-UPB"/>
    <x v="0"/>
    <d v="1899-12-30T16:49:00"/>
    <d v="1899-12-30T00:07:00"/>
    <d v="1899-12-30T00:07:00"/>
    <d v="1899-12-30T00:35:00"/>
    <d v="1899-12-30T17:24:00"/>
    <d v="1899-12-30T00:00:00"/>
    <m/>
    <d v="1899-12-30T16:49:00"/>
    <d v="1899-12-30T00:35:00"/>
    <x v="0"/>
    <x v="1"/>
  </r>
  <r>
    <m/>
    <s v="Poblado-UPB"/>
    <x v="8"/>
    <d v="1899-12-30T16:56:00"/>
    <d v="1899-12-30T00:07:00"/>
    <d v="1899-12-30T00:07:00"/>
    <d v="1899-12-30T00:35:00"/>
    <d v="1899-12-30T17:31:00"/>
    <d v="1899-12-30T00:00:00"/>
    <m/>
    <d v="1899-12-30T16:56:00"/>
    <d v="1899-12-30T00:35:00"/>
    <x v="1"/>
    <x v="1"/>
  </r>
  <r>
    <m/>
    <s v="UPB-Poblado"/>
    <x v="9"/>
    <d v="1899-12-30T16:56:00"/>
    <d v="1899-12-30T00:07:00"/>
    <d v="1899-12-30T00:07:00"/>
    <d v="1899-12-30T00:35:00"/>
    <d v="1899-12-30T17:31:00"/>
    <d v="1899-12-30T00:00:00"/>
    <m/>
    <d v="1899-12-30T16:56:00"/>
    <d v="1899-12-30T00:35:00"/>
    <x v="0"/>
    <x v="1"/>
  </r>
  <r>
    <m/>
    <s v="Poblado-UPB"/>
    <x v="1"/>
    <d v="1899-12-30T17:03:00"/>
    <d v="1899-12-30T00:07:00"/>
    <d v="1899-12-30T00:07:00"/>
    <d v="1899-12-30T00:35:00"/>
    <d v="1899-12-30T17:38:00"/>
    <d v="1899-12-30T00:00:00"/>
    <m/>
    <d v="1899-12-30T17:03:00"/>
    <d v="1899-12-30T00:35:00"/>
    <x v="0"/>
    <x v="1"/>
  </r>
  <r>
    <m/>
    <s v="UPB-Poblado"/>
    <x v="5"/>
    <d v="1899-12-30T17:03:00"/>
    <d v="1899-12-30T00:07:00"/>
    <d v="1899-12-30T00:07:00"/>
    <d v="1899-12-30T00:35:00"/>
    <d v="1899-12-30T17:38:00"/>
    <d v="1899-12-30T00:00:00"/>
    <m/>
    <d v="1899-12-30T17:03:00"/>
    <d v="1899-12-30T00:35:00"/>
    <x v="1"/>
    <x v="1"/>
  </r>
  <r>
    <m/>
    <s v="UPB-Poblado"/>
    <x v="6"/>
    <d v="1899-12-30T17:10:00"/>
    <d v="1899-12-30T00:07:00"/>
    <d v="1899-12-30T00:07:00"/>
    <d v="1899-12-30T00:35:00"/>
    <d v="1899-12-30T17:45:00"/>
    <d v="1899-12-30T00:00:00"/>
    <m/>
    <d v="1899-12-30T17:10:00"/>
    <d v="1899-12-30T00:35:00"/>
    <x v="0"/>
    <x v="1"/>
  </r>
  <r>
    <m/>
    <s v="Poblado-UPB"/>
    <x v="2"/>
    <d v="1899-12-30T17:10:00"/>
    <d v="1899-12-30T00:07:00"/>
    <d v="1899-12-30T00:07:00"/>
    <d v="1899-12-30T00:35:00"/>
    <d v="1899-12-30T17:45:00"/>
    <d v="1899-12-30T00:00:00"/>
    <m/>
    <d v="1899-12-30T17:10:00"/>
    <d v="1899-12-30T00:35:00"/>
    <x v="0"/>
    <x v="1"/>
  </r>
  <r>
    <m/>
    <s v="UPB-Poblado"/>
    <x v="7"/>
    <d v="1899-12-30T17:17:00"/>
    <d v="1899-12-30T00:07:00"/>
    <d v="1899-12-30T00:07:00"/>
    <d v="1899-12-30T00:35:00"/>
    <d v="1899-12-30T17:52:00"/>
    <d v="1899-12-30T00:00:00"/>
    <m/>
    <d v="1899-12-30T17:17:00"/>
    <d v="1899-12-30T00:35:00"/>
    <x v="0"/>
    <x v="1"/>
  </r>
  <r>
    <m/>
    <s v="Poblado-UPB"/>
    <x v="4"/>
    <d v="1899-12-30T17:17:00"/>
    <d v="1899-12-30T00:07:00"/>
    <d v="1899-12-30T00:07:00"/>
    <d v="1899-12-30T00:35:00"/>
    <d v="1899-12-30T17:52:00"/>
    <d v="1899-12-30T00:00:00"/>
    <m/>
    <d v="1899-12-30T17:17:00"/>
    <d v="1899-12-30T00:35:00"/>
    <x v="1"/>
    <x v="1"/>
  </r>
  <r>
    <m/>
    <s v="Poblado-UPB"/>
    <x v="3"/>
    <d v="1899-12-30T17:24:00"/>
    <d v="1899-12-30T00:07:00"/>
    <d v="1899-12-30T00:07:00"/>
    <d v="1899-12-30T00:35:00"/>
    <d v="1899-12-30T17:59:00"/>
    <d v="1899-12-30T00:00:00"/>
    <m/>
    <d v="1899-12-30T17:24:00"/>
    <d v="1899-12-30T00:35:00"/>
    <x v="0"/>
    <x v="1"/>
  </r>
  <r>
    <m/>
    <s v="UPB-Poblado"/>
    <x v="0"/>
    <d v="1899-12-30T17:24:00"/>
    <d v="1899-12-30T00:07:00"/>
    <d v="1899-12-30T00:07:00"/>
    <d v="1899-12-30T00:35:00"/>
    <d v="1899-12-30T17:59:00"/>
    <d v="1899-12-30T00:00:00"/>
    <m/>
    <d v="1899-12-30T17:24:00"/>
    <d v="1899-12-30T00:35:00"/>
    <x v="0"/>
    <x v="1"/>
  </r>
  <r>
    <m/>
    <s v="Poblado-UPB"/>
    <x v="9"/>
    <d v="1899-12-30T17:31:00"/>
    <d v="1899-12-30T00:07:00"/>
    <d v="1899-12-30T00:07:00"/>
    <d v="1899-12-30T00:35:00"/>
    <d v="1899-12-30T18:06:00"/>
    <d v="1899-12-30T00:00:00"/>
    <m/>
    <d v="1899-12-30T17:31:00"/>
    <d v="1899-12-30T00:35:00"/>
    <x v="0"/>
    <x v="1"/>
  </r>
  <r>
    <m/>
    <s v="UPB-Poblado"/>
    <x v="8"/>
    <d v="1899-12-30T17:31:00"/>
    <d v="1899-12-30T00:07:00"/>
    <d v="1899-12-30T00:07:00"/>
    <d v="1899-12-30T00:35:00"/>
    <d v="1899-12-30T18:06:00"/>
    <d v="1899-12-30T00:00:00"/>
    <m/>
    <d v="1899-12-30T17:31:00"/>
    <d v="1899-12-30T00:35:00"/>
    <x v="1"/>
    <x v="1"/>
  </r>
  <r>
    <m/>
    <s v="Poblado-UPB"/>
    <x v="5"/>
    <d v="1899-12-30T17:38:00"/>
    <d v="1899-12-30T00:07:00"/>
    <d v="1899-12-30T00:07:00"/>
    <d v="1899-12-30T00:35:00"/>
    <d v="1899-12-30T18:13:00"/>
    <d v="1899-12-30T00:00:00"/>
    <m/>
    <d v="1899-12-30T17:38:00"/>
    <d v="1899-12-30T00:35:00"/>
    <x v="1"/>
    <x v="1"/>
  </r>
  <r>
    <m/>
    <s v="UPB-Poblado"/>
    <x v="1"/>
    <d v="1899-12-30T17:38:00"/>
    <d v="1899-12-30T00:07:00"/>
    <d v="1899-12-30T00:07:00"/>
    <d v="1899-12-30T00:35:00"/>
    <d v="1899-12-30T18:13:00"/>
    <d v="1899-12-30T00:00:00"/>
    <m/>
    <d v="1899-12-30T17:38:00"/>
    <d v="1899-12-30T00:35:00"/>
    <x v="0"/>
    <x v="1"/>
  </r>
  <r>
    <m/>
    <s v="Poblado-UPB"/>
    <x v="6"/>
    <d v="1899-12-30T17:45:00"/>
    <d v="1899-12-30T00:07:00"/>
    <d v="1899-12-30T00:07:00"/>
    <d v="1899-12-30T00:35:00"/>
    <d v="1899-12-30T18:20:00"/>
    <d v="1899-12-30T00:00:00"/>
    <m/>
    <d v="1899-12-30T17:45:00"/>
    <d v="1899-12-30T00:35:00"/>
    <x v="0"/>
    <x v="1"/>
  </r>
  <r>
    <m/>
    <s v="UPB-Poblado"/>
    <x v="2"/>
    <d v="1899-12-30T17:45:00"/>
    <d v="1899-12-30T00:07:00"/>
    <d v="1899-12-30T00:07:00"/>
    <d v="1899-12-30T00:35:00"/>
    <d v="1899-12-30T18:20:00"/>
    <d v="1899-12-30T00:00:00"/>
    <m/>
    <d v="1899-12-30T17:45:00"/>
    <d v="1899-12-30T00:35:00"/>
    <x v="0"/>
    <x v="1"/>
  </r>
  <r>
    <m/>
    <s v="Poblado-UPB"/>
    <x v="7"/>
    <d v="1899-12-30T17:52:00"/>
    <d v="1899-12-30T00:07:00"/>
    <d v="1899-12-30T00:07:00"/>
    <d v="1899-12-30T00:35:00"/>
    <d v="1899-12-30T18:27:00"/>
    <d v="1899-12-30T00:00:00"/>
    <m/>
    <d v="1899-12-30T17:52:00"/>
    <d v="1899-12-30T00:35:00"/>
    <x v="0"/>
    <x v="1"/>
  </r>
  <r>
    <m/>
    <s v="UPB-Poblado"/>
    <x v="4"/>
    <d v="1899-12-30T17:52:00"/>
    <d v="1899-12-30T00:07:00"/>
    <d v="1899-12-30T00:07:00"/>
    <d v="1899-12-30T00:35:00"/>
    <d v="1899-12-30T18:27:00"/>
    <d v="1899-12-30T00:00:00"/>
    <m/>
    <d v="1899-12-30T17:52:00"/>
    <d v="1899-12-30T00:35:00"/>
    <x v="1"/>
    <x v="1"/>
  </r>
  <r>
    <m/>
    <s v="UPB-Poblado"/>
    <x v="3"/>
    <d v="1899-12-30T17:59:00"/>
    <d v="1899-12-30T00:07:00"/>
    <d v="1899-12-30T00:07:00"/>
    <d v="1899-12-30T00:35:00"/>
    <d v="1899-12-30T18:34:00"/>
    <d v="1899-12-30T00:00:00"/>
    <m/>
    <d v="1899-12-30T17:59:00"/>
    <d v="1899-12-30T00:35:00"/>
    <x v="0"/>
    <x v="1"/>
  </r>
  <r>
    <m/>
    <s v="Poblado-UPB"/>
    <x v="0"/>
    <d v="1899-12-30T17:59:00"/>
    <d v="1899-12-30T00:07:00"/>
    <d v="1899-12-30T00:07:00"/>
    <d v="1899-12-30T00:35:00"/>
    <d v="1899-12-30T18:34:00"/>
    <d v="1899-12-30T00:00:00"/>
    <m/>
    <d v="1899-12-30T17:59:00"/>
    <d v="1899-12-30T00:35:00"/>
    <x v="0"/>
    <x v="1"/>
  </r>
  <r>
    <m/>
    <s v="Poblado-UPB"/>
    <x v="8"/>
    <d v="1899-12-30T18:06:00"/>
    <d v="1899-12-30T00:07:00"/>
    <d v="1899-12-30T00:07:00"/>
    <d v="1899-12-30T00:35:00"/>
    <d v="1899-12-30T18:41:00"/>
    <d v="1899-12-30T00:00:00"/>
    <m/>
    <d v="1899-12-30T18:06:00"/>
    <d v="1899-12-30T00:35:00"/>
    <x v="1"/>
    <x v="1"/>
  </r>
  <r>
    <m/>
    <s v="UPB-Poblado"/>
    <x v="9"/>
    <d v="1899-12-30T18:06:00"/>
    <d v="1899-12-30T00:07:00"/>
    <d v="1899-12-30T00:07:00"/>
    <d v="1899-12-30T00:35:00"/>
    <d v="1899-12-30T18:41:00"/>
    <d v="1899-12-30T00:00:00"/>
    <m/>
    <d v="1899-12-30T18:06:00"/>
    <d v="1899-12-30T00:35:00"/>
    <x v="0"/>
    <x v="1"/>
  </r>
  <r>
    <m/>
    <s v="Poblado-UPB"/>
    <x v="1"/>
    <d v="1899-12-30T18:13:00"/>
    <d v="1899-12-30T00:07:00"/>
    <d v="1899-12-30T00:07:00"/>
    <d v="1899-12-30T00:35:00"/>
    <d v="1899-12-30T18:48:00"/>
    <d v="1899-12-30T00:00:00"/>
    <m/>
    <d v="1899-12-30T18:13:00"/>
    <d v="1899-12-30T00:35:00"/>
    <x v="0"/>
    <x v="1"/>
  </r>
  <r>
    <m/>
    <s v="UPB-Poblado"/>
    <x v="5"/>
    <d v="1899-12-30T18:13:00"/>
    <d v="1899-12-30T00:07:00"/>
    <d v="1899-12-30T00:07:00"/>
    <d v="1899-12-30T00:35:00"/>
    <d v="1899-12-30T18:48:00"/>
    <d v="1899-12-30T00:00:00"/>
    <m/>
    <d v="1899-12-30T18:13:00"/>
    <d v="1899-12-30T00:35:00"/>
    <x v="1"/>
    <x v="1"/>
  </r>
  <r>
    <m/>
    <s v="UPB-Poblado"/>
    <x v="6"/>
    <d v="1899-12-30T18:20:00"/>
    <d v="1899-12-30T00:07:00"/>
    <d v="1899-12-30T00:07:00"/>
    <d v="1899-12-30T00:35:00"/>
    <d v="1899-12-30T18:55:00"/>
    <d v="1899-12-30T00:00:00"/>
    <m/>
    <d v="1899-12-30T18:20:00"/>
    <d v="1899-12-30T00:35:00"/>
    <x v="0"/>
    <x v="1"/>
  </r>
  <r>
    <m/>
    <s v="Poblado-UPB"/>
    <x v="2"/>
    <d v="1899-12-30T18:20:00"/>
    <d v="1899-12-30T00:07:00"/>
    <d v="1899-12-30T00:07:00"/>
    <d v="1899-12-30T00:35:00"/>
    <d v="1899-12-30T18:55:00"/>
    <d v="1899-12-30T00:00:00"/>
    <m/>
    <d v="1899-12-30T18:20:00"/>
    <d v="1899-12-30T00:35:00"/>
    <x v="0"/>
    <x v="1"/>
  </r>
  <r>
    <m/>
    <s v="UPB-Poblado"/>
    <x v="7"/>
    <d v="1899-12-30T18:27:00"/>
    <d v="1899-12-30T00:07:00"/>
    <d v="1899-12-30T00:07:00"/>
    <d v="1899-12-30T00:35:00"/>
    <d v="1899-12-30T19:02:00"/>
    <d v="1899-12-30T00:00:00"/>
    <m/>
    <d v="1899-12-30T18:27:00"/>
    <d v="1899-12-30T00:35:00"/>
    <x v="0"/>
    <x v="1"/>
  </r>
  <r>
    <s v="u"/>
    <s v="Poblado-UPB"/>
    <x v="4"/>
    <d v="1899-12-30T18:27:00"/>
    <d v="1899-12-30T00:07:00"/>
    <d v="1899-12-30T00:07:00"/>
    <d v="1899-12-30T00:35:00"/>
    <d v="1899-12-30T19:02:00"/>
    <d v="1899-12-30T00:00:00"/>
    <m/>
    <d v="1899-12-30T18:27:00"/>
    <d v="1899-12-30T00:35:00"/>
    <x v="1"/>
    <x v="1"/>
  </r>
  <r>
    <m/>
    <s v="Poblado-UPB"/>
    <x v="3"/>
    <d v="1899-12-30T18:34:00"/>
    <d v="1899-12-30T00:07:00"/>
    <d v="1899-12-30T00:07:00"/>
    <d v="1899-12-30T00:35:00"/>
    <d v="1899-12-30T19:09:00"/>
    <d v="1899-12-30T00:00:00"/>
    <m/>
    <d v="1899-12-30T18:34:00"/>
    <d v="1899-12-30T00:35:00"/>
    <x v="0"/>
    <x v="1"/>
  </r>
  <r>
    <s v="u"/>
    <s v="UPB-Poblado"/>
    <x v="0"/>
    <d v="1899-12-30T18:34:00"/>
    <d v="1899-12-30T00:07:00"/>
    <d v="1899-12-30T00:07:00"/>
    <d v="1899-12-30T00:35:00"/>
    <d v="1899-12-30T19:09:00"/>
    <d v="1899-12-30T00:00:00"/>
    <m/>
    <d v="1899-12-30T18:34:00"/>
    <d v="1899-12-30T00:35:00"/>
    <x v="0"/>
    <x v="1"/>
  </r>
  <r>
    <s v="u"/>
    <s v="Poblado-UPB"/>
    <x v="9"/>
    <d v="1899-12-30T18:41:00"/>
    <d v="1899-12-30T00:07:00"/>
    <d v="1899-12-30T00:07:00"/>
    <d v="1899-12-30T00:35:00"/>
    <d v="1899-12-30T19:16:00"/>
    <d v="1899-12-30T00:00:00"/>
    <m/>
    <d v="1899-12-30T18:41:00"/>
    <d v="1899-12-30T00:35:00"/>
    <x v="0"/>
    <x v="1"/>
  </r>
  <r>
    <m/>
    <s v="UPB-Poblado"/>
    <x v="8"/>
    <d v="1899-12-30T18:41:00"/>
    <d v="1899-12-30T00:07:00"/>
    <d v="1899-12-30T00:07:00"/>
    <d v="1899-12-30T00:35:00"/>
    <d v="1899-12-30T19:16:00"/>
    <d v="1899-12-30T00:00:00"/>
    <m/>
    <d v="1899-12-30T18:41:00"/>
    <d v="1899-12-30T00:35:00"/>
    <x v="1"/>
    <x v="1"/>
  </r>
  <r>
    <m/>
    <s v="Poblado-UPB"/>
    <x v="5"/>
    <d v="1899-12-30T18:48:00"/>
    <d v="1899-12-30T00:07:00"/>
    <d v="1899-12-30T00:07:00"/>
    <d v="1899-12-30T00:35:00"/>
    <d v="1899-12-30T19:23:00"/>
    <d v="1899-12-30T00:00:00"/>
    <m/>
    <d v="1899-12-30T18:48:00"/>
    <d v="1899-12-30T00:35:00"/>
    <x v="1"/>
    <x v="1"/>
  </r>
  <r>
    <s v="u"/>
    <s v="UPB-Poblado"/>
    <x v="1"/>
    <d v="1899-12-30T18:48:00"/>
    <d v="1899-12-30T00:07:00"/>
    <d v="1899-12-30T00:07:00"/>
    <d v="1899-12-30T00:35:00"/>
    <d v="1899-12-30T19:23:00"/>
    <d v="1899-12-30T00:00:00"/>
    <m/>
    <d v="1899-12-30T18:48:00"/>
    <d v="1899-12-30T00:35:00"/>
    <x v="0"/>
    <x v="1"/>
  </r>
  <r>
    <s v="u"/>
    <s v="Poblado-UPB"/>
    <x v="6"/>
    <d v="1899-12-30T18:55:00"/>
    <d v="1899-12-30T00:07:00"/>
    <d v="1899-12-30T00:07:00"/>
    <d v="1899-12-30T00:35:00"/>
    <d v="1899-12-30T19:30:00"/>
    <d v="1899-12-30T00:00:00"/>
    <m/>
    <d v="1899-12-30T18:55:00"/>
    <d v="1899-12-30T00:35:00"/>
    <x v="0"/>
    <x v="1"/>
  </r>
  <r>
    <m/>
    <s v="UPB-Poblado"/>
    <x v="2"/>
    <d v="1899-12-30T18:55:00"/>
    <d v="1899-12-30T00:07:00"/>
    <d v="1899-12-30T00:07:00"/>
    <d v="1899-12-30T00:35:00"/>
    <d v="1899-12-30T19:30:00"/>
    <d v="1899-12-30T00:00:00"/>
    <m/>
    <d v="1899-12-30T18:55:00"/>
    <d v="1899-12-30T00:35:00"/>
    <x v="0"/>
    <x v="1"/>
  </r>
  <r>
    <m/>
    <s v="Poblado-UPB"/>
    <x v="7"/>
    <d v="1899-12-30T19:02:00"/>
    <d v="1899-12-30T00:07:00"/>
    <d v="1899-12-30T00:14:00"/>
    <d v="1899-12-30T00:35:00"/>
    <d v="1899-12-30T19:37:00"/>
    <d v="1899-12-30T00:07:00"/>
    <m/>
    <d v="1899-12-30T19:09:00"/>
    <d v="1899-12-30T00:35:00"/>
    <x v="0"/>
    <x v="1"/>
  </r>
  <r>
    <m/>
    <s v="UPB-Poblado"/>
    <x v="3"/>
    <d v="1899-12-30T19:09:00"/>
    <d v="1899-12-30T00:14:00"/>
    <d v="1899-12-30T00:14:00"/>
    <d v="1899-12-30T00:35:00"/>
    <d v="1899-12-30T19:44:00"/>
    <d v="1899-12-30T00:00:00"/>
    <m/>
    <d v="1899-12-30T19:09:00"/>
    <d v="1899-12-30T00:35:00"/>
    <x v="0"/>
    <x v="1"/>
  </r>
  <r>
    <m/>
    <s v="Poblado-UPB"/>
    <x v="8"/>
    <d v="1899-12-30T19:16:00"/>
    <d v="1899-12-30T00:14:00"/>
    <d v="1899-12-30T00:14:00"/>
    <d v="1899-12-30T00:35:00"/>
    <d v="1899-12-30T19:51:00"/>
    <d v="1899-12-30T00:00:00"/>
    <m/>
    <d v="1899-12-30T19:16:00"/>
    <d v="1899-12-30T00:35:00"/>
    <x v="1"/>
    <x v="1"/>
  </r>
  <r>
    <m/>
    <s v="UPB-Poblado"/>
    <x v="5"/>
    <d v="1899-12-30T19:23:00"/>
    <d v="1899-12-30T00:14:00"/>
    <d v="1899-12-30T00:14:00"/>
    <d v="1899-12-30T00:35:00"/>
    <d v="1899-12-30T19:58:00"/>
    <d v="1899-12-30T00:00:00"/>
    <m/>
    <d v="1899-12-30T19:23:00"/>
    <d v="1899-12-30T00:35:00"/>
    <x v="1"/>
    <x v="1"/>
  </r>
  <r>
    <m/>
    <s v="Poblado-UPB"/>
    <x v="2"/>
    <d v="1899-12-30T19:30:00"/>
    <d v="1899-12-30T00:14:00"/>
    <d v="1899-12-30T00:14:00"/>
    <d v="1899-12-30T00:35:00"/>
    <d v="1899-12-30T20:05:00"/>
    <d v="1899-12-30T00:00:00"/>
    <m/>
    <d v="1899-12-30T19:30:00"/>
    <d v="1899-12-30T00:35:00"/>
    <x v="0"/>
    <x v="1"/>
  </r>
  <r>
    <m/>
    <s v="UPB-Poblado"/>
    <x v="7"/>
    <d v="1899-12-30T19:37:00"/>
    <d v="1899-12-30T00:14:00"/>
    <d v="1899-12-30T00:14:00"/>
    <d v="1899-12-30T00:35:00"/>
    <d v="1899-12-30T20:12:00"/>
    <d v="1899-12-30T00:00:00"/>
    <m/>
    <d v="1899-12-30T19:37:00"/>
    <d v="1899-12-30T00:35:00"/>
    <x v="0"/>
    <x v="1"/>
  </r>
  <r>
    <s v="u"/>
    <s v="Poblado-UPB"/>
    <x v="3"/>
    <d v="1899-12-30T19:44:00"/>
    <d v="1899-12-30T00:14:00"/>
    <d v="1899-12-30T00:14:00"/>
    <d v="1899-12-30T00:35:00"/>
    <d v="1899-12-30T20:19:00"/>
    <d v="1899-12-30T00:00:00"/>
    <m/>
    <d v="1899-12-30T19:44:00"/>
    <d v="1899-12-30T00:35:00"/>
    <x v="0"/>
    <x v="1"/>
  </r>
  <r>
    <s v="u"/>
    <s v="UPB-Poblado"/>
    <x v="8"/>
    <d v="1899-12-30T19:51:00"/>
    <d v="1899-12-30T00:14:00"/>
    <d v="1899-12-30T00:14:00"/>
    <d v="1899-12-30T00:35:00"/>
    <d v="1899-12-30T20:26:00"/>
    <d v="1899-12-30T00:00:00"/>
    <m/>
    <d v="1899-12-30T19:51:00"/>
    <d v="1899-12-30T00:35:00"/>
    <x v="1"/>
    <x v="1"/>
  </r>
  <r>
    <s v="u"/>
    <s v="Poblado-UPB"/>
    <x v="5"/>
    <d v="1899-12-30T19:58:00"/>
    <d v="1899-12-30T00:14:00"/>
    <d v="1899-12-30T00:14:00"/>
    <d v="1899-12-30T00:35:00"/>
    <d v="1899-12-30T20:33:00"/>
    <d v="1899-12-30T00:00:00"/>
    <m/>
    <d v="1899-12-30T19:58:00"/>
    <d v="1899-12-30T00:35:00"/>
    <x v="1"/>
    <x v="1"/>
  </r>
  <r>
    <s v="u"/>
    <s v="UPB-Poblado"/>
    <x v="2"/>
    <d v="1899-12-30T20:05:00"/>
    <d v="1899-12-30T00:14:00"/>
    <d v="1899-12-30T00:14:00"/>
    <d v="1899-12-30T00:35:00"/>
    <d v="1899-12-30T20:40:00"/>
    <d v="1899-12-30T00:00:00"/>
    <m/>
    <d v="1899-12-30T20:05:00"/>
    <d v="1899-12-30T00:35:00"/>
    <x v="0"/>
    <x v="1"/>
  </r>
  <r>
    <s v="u"/>
    <s v="Poblado-UPB"/>
    <x v="7"/>
    <d v="1899-12-30T20:12:00"/>
    <d v="1899-12-30T00:14:00"/>
    <d v="1899-12-30T00:14:00"/>
    <d v="1899-12-30T00:35:00"/>
    <d v="1899-12-30T20:47:00"/>
    <d v="1899-12-30T00:00:00"/>
    <m/>
    <d v="1899-12-30T20:12:00"/>
    <d v="1899-12-30T00:35:0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0D637-272A-406F-BF30-0C9649526E00}" name="TablaDinámica1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>
  <location ref="A3:F34" firstHeaderRow="0" firstDataRow="1" firstDataCol="3"/>
  <pivotFields count="14"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11">
        <item x="0"/>
        <item x="1"/>
        <item x="2"/>
        <item x="3"/>
        <item x="4"/>
        <item x="6"/>
        <item x="7"/>
        <item x="5"/>
        <item x="8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6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8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12"/>
    <field x="13"/>
  </rowFields>
  <rowItems count="31">
    <i>
      <x/>
      <x/>
      <x/>
    </i>
    <i r="2">
      <x v="1"/>
    </i>
    <i t="default">
      <x/>
    </i>
    <i>
      <x v="1"/>
      <x/>
      <x/>
    </i>
    <i r="2">
      <x v="1"/>
    </i>
    <i t="default">
      <x v="1"/>
    </i>
    <i>
      <x v="2"/>
      <x/>
      <x/>
    </i>
    <i r="2">
      <x v="1"/>
    </i>
    <i t="default">
      <x v="2"/>
    </i>
    <i>
      <x v="3"/>
      <x/>
      <x/>
    </i>
    <i r="2">
      <x v="1"/>
    </i>
    <i t="default">
      <x v="3"/>
    </i>
    <i>
      <x v="4"/>
      <x v="1"/>
      <x/>
    </i>
    <i r="2">
      <x v="1"/>
    </i>
    <i t="default">
      <x v="4"/>
    </i>
    <i>
      <x v="5"/>
      <x/>
      <x/>
    </i>
    <i r="2">
      <x v="1"/>
    </i>
    <i t="default">
      <x v="5"/>
    </i>
    <i>
      <x v="6"/>
      <x/>
      <x/>
    </i>
    <i r="2">
      <x v="1"/>
    </i>
    <i t="default">
      <x v="6"/>
    </i>
    <i>
      <x v="7"/>
      <x v="1"/>
      <x/>
    </i>
    <i r="2">
      <x v="1"/>
    </i>
    <i t="default">
      <x v="7"/>
    </i>
    <i>
      <x v="8"/>
      <x v="1"/>
      <x/>
    </i>
    <i r="2">
      <x v="1"/>
    </i>
    <i t="default">
      <x v="8"/>
    </i>
    <i>
      <x v="9"/>
      <x/>
      <x/>
    </i>
    <i r="2">
      <x v="1"/>
    </i>
    <i t="default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ín. de HORA_INI" fld="3" subtotal="min" baseField="2" baseItem="0" numFmtId="46"/>
    <dataField name="Máx. de HORA_FIN" fld="7" subtotal="max" baseField="2" baseItem="0" numFmtId="46"/>
    <dataField name="Suma de T" fld="11" baseField="2" baseItem="0" numFmtId="46"/>
  </dataFields>
  <formats count="2">
    <format dxfId="139">
      <pivotArea outline="0" fieldPosition="0">
        <references count="4">
          <reference field="4294967294" count="1" selected="0">
            <x v="2"/>
          </reference>
          <reference field="2" count="1" selected="0">
            <x v="5"/>
          </reference>
          <reference field="12" count="1" selected="0">
            <x v="0"/>
          </reference>
          <reference field="13" count="1" selected="0">
            <x v="1"/>
          </reference>
        </references>
      </pivotArea>
    </format>
    <format dxfId="138">
      <pivotArea outline="0" fieldPosition="0">
        <references count="4">
          <reference field="4294967294" count="1" selected="0">
            <x v="2"/>
          </reference>
          <reference field="2" count="1" selected="0">
            <x v="9"/>
          </reference>
          <reference field="12" count="1" selected="0">
            <x v="0"/>
          </reference>
          <reference field="13" count="1" selected="0">
            <x v="1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US1" xr10:uid="{4952DD0B-B70E-449F-BB49-FB0AC52DC996}" sourceName="BUS">
  <extLst>
    <x:ext xmlns:x15="http://schemas.microsoft.com/office/spreadsheetml/2010/11/main" uri="{2F2917AC-EB37-4324-AD4E-5DD8C200BD13}">
      <x15:tableSlicerCache tableId="1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S 1" xr10:uid="{CA22B5F6-4A19-4089-8FF9-BDC51988F847}" cache="SegmentaciónDeDatos_BUS1" caption="BUS" startItem="1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J18" totalsRowShown="0">
  <autoFilter ref="A1:J18" xr:uid="{00000000-0009-0000-0100-000002000000}"/>
  <tableColumns count="10">
    <tableColumn id="1" xr3:uid="{00000000-0010-0000-0100-000001000000}" name="RUTA"/>
    <tableColumn id="2" xr3:uid="{00000000-0010-0000-0100-000002000000}" name="BUSES" dataDxfId="264"/>
    <tableColumn id="10" xr3:uid="{00000000-0010-0000-0100-00000A000000}" name="KM" dataDxfId="263"/>
    <tableColumn id="3" xr3:uid="{00000000-0010-0000-0100-000003000000}" name="TIEM(MIN)" dataDxfId="262"/>
    <tableColumn id="4" xr3:uid="{00000000-0010-0000-0100-000004000000}" name="INTE(MIN)" dataDxfId="261"/>
    <tableColumn id="5" xr3:uid="{00000000-0010-0000-0100-000005000000}" name="FREC(V/H)" dataDxfId="260">
      <calculatedColumnFormula>60/E2</calculatedColumnFormula>
    </tableColumn>
    <tableColumn id="6" xr3:uid="{00000000-0010-0000-0100-000006000000}" name="MS" dataDxfId="259"/>
    <tableColumn id="7" xr3:uid="{00000000-0010-0000-0100-000007000000}" name="MX" dataDxfId="258"/>
    <tableColumn id="8" xr3:uid="{00000000-0010-0000-0100-000008000000}" name="MM" dataDxfId="257"/>
    <tableColumn id="9" xr3:uid="{00000000-0010-0000-0100-000009000000}" name="SM" dataDxfId="25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45" displayName="Tabla245" ref="A1:J18" totalsRowShown="0">
  <autoFilter ref="A1:J18" xr:uid="{00000000-0009-0000-0100-000004000000}"/>
  <tableColumns count="10">
    <tableColumn id="1" xr3:uid="{00000000-0010-0000-0300-000001000000}" name="RUTA"/>
    <tableColumn id="2" xr3:uid="{00000000-0010-0000-0300-000002000000}" name="BUSES" dataDxfId="255"/>
    <tableColumn id="10" xr3:uid="{00000000-0010-0000-0300-00000A000000}" name="KM" dataDxfId="254"/>
    <tableColumn id="3" xr3:uid="{00000000-0010-0000-0300-000003000000}" name="TIEM(MIN)" dataDxfId="253"/>
    <tableColumn id="4" xr3:uid="{00000000-0010-0000-0300-000004000000}" name="INTE(MIN)" dataDxfId="252">
      <calculatedColumnFormula>IFERROR(D2/B2,0)</calculatedColumnFormula>
    </tableColumn>
    <tableColumn id="5" xr3:uid="{00000000-0010-0000-0300-000005000000}" name="FREC(V/H)" dataDxfId="251">
      <calculatedColumnFormula>IFERROR((60/E2),0)</calculatedColumnFormula>
    </tableColumn>
    <tableColumn id="6" xr3:uid="{00000000-0010-0000-0300-000006000000}" name="MS" dataDxfId="250"/>
    <tableColumn id="7" xr3:uid="{00000000-0010-0000-0300-000007000000}" name="MX" dataDxfId="249"/>
    <tableColumn id="8" xr3:uid="{00000000-0010-0000-0300-000008000000}" name="MM" dataDxfId="248"/>
    <tableColumn id="9" xr3:uid="{00000000-0010-0000-0300-000009000000}" name="SM" dataDxfId="24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32C2EC6-616A-406F-AAA6-CF5E787A25A2}" name="Tabla6" displayName="Tabla6" ref="A1:H27" totalsRowShown="0" headerRowDxfId="246" dataDxfId="244" headerRowBorderDxfId="245" tableBorderDxfId="243" headerRowCellStyle="Normal 2">
  <autoFilter ref="A1:H27" xr:uid="{00000000-0009-0000-0100-000006000000}"/>
  <sortState xmlns:xlrd2="http://schemas.microsoft.com/office/spreadsheetml/2017/richdata2" ref="A2:F15">
    <sortCondition ref="B12:B15"/>
  </sortState>
  <tableColumns count="8">
    <tableColumn id="9" xr3:uid="{296469C9-9E7D-4CDF-B129-82A80A65A777}" name="ARCOS" dataDxfId="242">
      <calculatedColumnFormula>CONCATENATE(Tabla6[[#This Row],[ArretDebut]],Tabla6[[#This Row],[ArretFin]])</calculatedColumnFormula>
    </tableColumn>
    <tableColumn id="1" xr3:uid="{4A61A165-134D-4D44-B328-6E43E118936E}" name="TypeMission" dataDxfId="241"/>
    <tableColumn id="2" xr3:uid="{3F1DCDCF-9EAD-4D3C-8D82-6B5CEE02CC4C}" name="tipoTarea" dataDxfId="240"/>
    <tableColumn id="4" xr3:uid="{E648E084-AED8-401C-85C0-7A434F569602}" name="ArretDebut" dataDxfId="239"/>
    <tableColumn id="5" xr3:uid="{A6D22D24-FD03-465D-BDFE-FD7830C2DAF1}" name="ArretFin" dataDxfId="238"/>
    <tableColumn id="6" xr3:uid="{3F189804-C6FC-42E4-A55E-DB9702C9E747}" name="KM" dataDxfId="237"/>
    <tableColumn id="7" xr3:uid="{85155E6E-3BDB-44D9-A7A8-2B37EDE58E2C}" name="Tiempo" dataDxfId="236" dataCellStyle="Normal 2"/>
    <tableColumn id="10" xr3:uid="{42511D12-7C46-4F66-ABCE-20001A847556}" name="Linea" dataDxfId="23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EBEDFE-85CE-4673-9D62-AA906EDA0D12}" name="Ruta1" displayName="Ruta1" ref="A1:F17" totalsRowShown="0" headerRowDxfId="234">
  <autoFilter ref="A1:F17" xr:uid="{00000000-0009-0000-0100-000001000000}"/>
  <tableColumns count="6">
    <tableColumn id="1" xr3:uid="{AE7B731A-9684-452B-9F1B-798550BBF97E}" name="RUTA"/>
    <tableColumn id="2" xr3:uid="{AB17D7F7-557C-4C16-96E2-A5F7CEBDA7EC}" name="HORA" dataDxfId="233"/>
    <tableColumn id="3" xr3:uid="{5773CF79-8F2D-4678-A5F5-C39846AD6EBD}" name="BUSES"/>
    <tableColumn id="4" xr3:uid="{F2A778AF-3AE1-49A8-A016-F7E3F8C94C9D}" name="Tc" dataDxfId="232"/>
    <tableColumn id="5" xr3:uid="{DA4FA128-98C4-4119-8542-2060BCA03318}" name="iC" dataDxfId="231">
      <calculatedColumnFormula>+Ruta1[[#This Row],[Tc]]/Ruta1[[#This Row],[BUSES]]</calculatedColumnFormula>
    </tableColumn>
    <tableColumn id="6" xr3:uid="{BFF33513-FEDD-49CA-8693-E33F8A7C4B1A}" name="iD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5EDF8F-DEB1-434E-B4DD-842594522B64}" name="Ruta2" displayName="Ruta2" ref="H1:M17" totalsRowShown="0" headerRowDxfId="230">
  <autoFilter ref="H1:M17" xr:uid="{E4F64C4D-E0F5-4037-ADB3-23E002F88626}"/>
  <tableColumns count="6">
    <tableColumn id="1" xr3:uid="{99B9026D-A4E0-461D-82B0-C1BC639D3290}" name="RUTA"/>
    <tableColumn id="2" xr3:uid="{FEC17C5D-CD60-4A3D-9A15-350FC180E920}" name="HORA" dataDxfId="229"/>
    <tableColumn id="3" xr3:uid="{9920F57E-3A9A-4ADF-A998-194ABAF16313}" name="BUSES"/>
    <tableColumn id="4" xr3:uid="{0BB8D56F-9561-4938-B832-17BE91764E62}" name="Tc" dataDxfId="228"/>
    <tableColumn id="5" xr3:uid="{528CCD29-CBDC-4D42-B898-BCA1E9299162}" name="iC" dataDxfId="227">
      <calculatedColumnFormula>Ruta2[[#This Row],[Tc]]/Ruta2[[#This Row],[BUSES]]</calculatedColumnFormula>
    </tableColumn>
    <tableColumn id="6" xr3:uid="{B915E02A-9180-487C-AF9C-A9A6E94384A7}" name="iD" dataDxfId="22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3DAB981-81AF-48B8-8285-475AF6388082}" name="TrCeib1181520" displayName="TrCeib1181520" ref="A3:N104" totalsRowShown="0" headerRowDxfId="221" dataDxfId="220">
  <autoFilter ref="A3:N104" xr:uid="{47AA8A25-BBD4-4794-93F8-72C828779525}"/>
  <tableColumns count="14">
    <tableColumn id="1" xr3:uid="{D6603F47-225D-4448-8904-22ED89CD096F}" name="i/u" dataDxfId="219"/>
    <tableColumn id="2" xr3:uid="{3FE90083-AF13-4FE4-A78D-E76346B48CD4}" name="BUS" dataDxfId="218"/>
    <tableColumn id="3" xr3:uid="{ECFB09AE-4246-4CC7-9A8D-2FF2ECF09A87}" name="HORA" dataDxfId="217"/>
    <tableColumn id="4" xr3:uid="{0E9A31A9-A795-4671-9D2E-DEB7554BFDBD}" name="i-p" dataDxfId="216">
      <calculatedColumnFormula>C4-C3</calculatedColumnFormula>
    </tableColumn>
    <tableColumn id="6" xr3:uid="{1FBCED58-B109-46C1-8479-EA2DEB2F73AE}" name="i" dataDxfId="215"/>
    <tableColumn id="5" xr3:uid="{7D1C7917-3A4C-48A8-A342-19CB5ADFD8A3}" name="Tr" dataDxfId="214">
      <calculatedColumnFormula>+$D$2</calculatedColumnFormula>
    </tableColumn>
    <tableColumn id="7" xr3:uid="{34A2E4A6-8F35-4355-A940-462E10F06857}" name="TerAgne" dataDxfId="213">
      <calculatedColumnFormula>C4+F4</calculatedColumnFormula>
    </tableColumn>
    <tableColumn id="8" xr3:uid="{676DAB1F-3A9C-44DC-9F65-586FE37F2793}" name="Tt_Cal" dataDxfId="212">
      <calculatedColumnFormula>+(C3+E4)-C4</calculatedColumnFormula>
    </tableColumn>
    <tableColumn id="9" xr3:uid="{7646C366-9114-4BC9-91A4-895943CA9A00}" name="Tt_tex" dataDxfId="211"/>
    <tableColumn id="10" xr3:uid="{CA0F2A10-5F66-470A-8DD6-8E2CD7B845D4}" name="H_SUG" dataDxfId="210">
      <calculatedColumnFormula>+C4+H4</calculatedColumnFormula>
    </tableColumn>
    <tableColumn id="11" xr3:uid="{9F00924C-37D9-42EA-BB7F-368412FFB976}" name="T1" dataDxfId="209">
      <calculatedColumnFormula>(G4-C4)+TrCeib1181520[[#This Row],[Tt_tex]]</calculatedColumnFormula>
    </tableColumn>
    <tableColumn id="12" xr3:uid="{45E4BFE9-006D-44A1-8A54-22636E2FE04C}" name="T2" dataDxfId="208">
      <calculatedColumnFormula>SUMIF(B$4:$B4,TrCeib1181520[[#This Row],[BUS]],$K$4:K4)</calculatedColumnFormula>
    </tableColumn>
    <tableColumn id="13" xr3:uid="{B42680F9-55F0-49ED-854F-5B1A6026448A}" name="∑TrCeib" dataDxfId="207">
      <calculatedColumnFormula>_xlfn.IFNA(VLOOKUP(TrCeib1181520[[#This Row],[BUS]],_xlfn._xlws.SORT(VeredaTr1291621[[BUS]:[T2]],11,-1,FALSE),11,FALSE),0)</calculatedColumnFormula>
    </tableColumn>
    <tableColumn id="14" xr3:uid="{BF8D750E-CF5F-4571-B3D7-574985578218}" name="∑" dataDxfId="206">
      <calculatedColumnFormula>+TrCeib1181520[[#This Row],[∑TrCeib]]+TrCeib1181520[[#This Row],[T2]]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4C2D6BF-E626-4986-99B4-5765FADC9EF3}" name="VeredaTr1291621" displayName="VeredaTr1291621" ref="R3:AE105" totalsRowShown="0" headerRowDxfId="205" dataDxfId="204">
  <autoFilter ref="R3:AE105" xr:uid="{B0CD0B8F-A9AC-4282-8FE9-51CD72F7406D}"/>
  <tableColumns count="14">
    <tableColumn id="1" xr3:uid="{2927C3BB-8746-4A2B-BC8C-B9D50D9B1B44}" name="i/u" dataDxfId="203"/>
    <tableColumn id="2" xr3:uid="{3D26B468-883C-407F-AC31-EAEAA85633DA}" name="BUS" dataDxfId="202"/>
    <tableColumn id="3" xr3:uid="{8554E7FD-6605-4CF5-9FF6-47DB7076287D}" name="HORA" dataDxfId="201"/>
    <tableColumn id="4" xr3:uid="{16B14255-0B48-4D53-A158-ACDD609F256B}" name="i-p" dataDxfId="200">
      <calculatedColumnFormula>T4-T3</calculatedColumnFormula>
    </tableColumn>
    <tableColumn id="5" xr3:uid="{F2C13AA7-21BC-42CA-B557-E874C6856B56}" name="i" dataDxfId="199"/>
    <tableColumn id="6" xr3:uid="{187406EC-D0D2-4D46-A78F-E304A874AB9D}" name="Tr" dataDxfId="198">
      <calculatedColumnFormula>+$U$2</calculatedColumnFormula>
    </tableColumn>
    <tableColumn id="7" xr3:uid="{E3DB990F-E0B8-4A70-8EA2-63489E49CE25}" name="TerMog" dataDxfId="197">
      <calculatedColumnFormula>+T4+W4</calculatedColumnFormula>
    </tableColumn>
    <tableColumn id="8" xr3:uid="{6CBBED85-9975-48CA-870C-CC8DDFB2445F}" name="Tt_Cal" dataDxfId="196">
      <calculatedColumnFormula>+(T3+V4)-T4</calculatedColumnFormula>
    </tableColumn>
    <tableColumn id="9" xr3:uid="{CC60E6AE-F68A-4683-AED0-B88ED72E3B0B}" name="Tt_tex" dataDxfId="195"/>
    <tableColumn id="10" xr3:uid="{8E0D5633-286A-438B-9770-7F0D8E0E0B90}" name="H_SUG" dataDxfId="194">
      <calculatedColumnFormula>+T4+Y4</calculatedColumnFormula>
    </tableColumn>
    <tableColumn id="11" xr3:uid="{446E2F1E-8E45-44E0-A7F9-7B00B236AD86}" name="T1" dataDxfId="193">
      <calculatedColumnFormula>(X4-T4)</calculatedColumnFormula>
    </tableColumn>
    <tableColumn id="12" xr3:uid="{49938460-98DF-4D08-980C-1A9AB5676BE8}" name="T2" dataDxfId="192">
      <calculatedColumnFormula>SUMIF($S$4:S4,S4,$AB$4:AB4)</calculatedColumnFormula>
    </tableColumn>
    <tableColumn id="13" xr3:uid="{DE2ACE80-93F1-4989-9037-2D0DC065B7F6}" name="∑VeredaTr" dataDxfId="191">
      <calculatedColumnFormula>_xlfn.IFNA(VLOOKUP(VeredaTr1291621[[#This Row],[BUS]],_xlfn._xlws.SORT(TrCeib1181520[[BUS]:[T2]],11,-1,FALSE),11,FALSE),0)</calculatedColumnFormula>
    </tableColumn>
    <tableColumn id="14" xr3:uid="{4EBD13C9-F194-4600-8F85-9002C6339C55}" name="∑" dataDxfId="190">
      <calculatedColumnFormula>+VeredaTr1291621[[#This Row],[∑VeredaTr]]+VeredaTr1291621[[#This Row],[T2]]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ACC827-8B5A-4E35-BB01-D10EE22285F2}" name="TrCeib11815" displayName="TrCeib11815" ref="A3:L111" totalsRowShown="0" headerRowDxfId="187" dataDxfId="186">
  <tableColumns count="12">
    <tableColumn id="1" xr3:uid="{5F7961EE-ACD3-40CA-A74C-4615A75A053C}" name="i/u" dataDxfId="185"/>
    <tableColumn id="15" xr3:uid="{6A2D0BBE-B22C-4ED1-B763-ED4F9CC2B93B}" name="Terminal"/>
    <tableColumn id="2" xr3:uid="{C0ACE3CA-5774-47E0-8821-1C55E98277A3}" name="BUS" dataDxfId="184"/>
    <tableColumn id="3" xr3:uid="{3E659A57-58EA-403B-B25E-CBC9F0661314}" name="HORA_INI" dataDxfId="183"/>
    <tableColumn id="4" xr3:uid="{314BC5DC-3A79-48EB-B76B-67C91076A4BC}" name="i-p" dataDxfId="182"/>
    <tableColumn id="6" xr3:uid="{A11A4C53-96E8-49C9-9C41-8DC07570BC2F}" name="i" dataDxfId="181">
      <calculatedColumnFormula>VLOOKUP(TrCeib11815[[#This Row],[HORA_INI]],Ruta1[[HORA]:[iD]],5,TRUE)</calculatedColumnFormula>
    </tableColumn>
    <tableColumn id="5" xr3:uid="{6EA2600B-A956-4991-8B70-3FC02F92547F}" name="Tr" dataDxfId="180">
      <calculatedColumnFormula>+$D$2</calculatedColumnFormula>
    </tableColumn>
    <tableColumn id="7" xr3:uid="{3F46E6DE-2E7A-4BD6-8CD0-FA9A3DF92F03}" name="HORA_FIN" dataDxfId="179">
      <calculatedColumnFormula>D4+G4</calculatedColumnFormula>
    </tableColumn>
    <tableColumn id="8" xr3:uid="{5666FD33-D476-4B6E-9C4C-435787A4D561}" name="Tt_Cal" dataDxfId="178"/>
    <tableColumn id="9" xr3:uid="{2CDBA345-4C68-486D-A938-24B02E6FFD66}" name="Tt_tex" dataDxfId="177"/>
    <tableColumn id="10" xr3:uid="{DB3ECCAD-68FA-43C2-B319-F65382FDAF26}" name="H_SUG" dataDxfId="176">
      <calculatedColumnFormula>+D4+I4</calculatedColumnFormula>
    </tableColumn>
    <tableColumn id="11" xr3:uid="{D120B21B-94E1-41F1-86F9-A9B5ECCB1317}" name="T" dataDxfId="175">
      <calculatedColumnFormula>(TrCeib11815[[#This Row],[HORA_FIN]]-TrCeib11815[[#This Row],[HORA_INI]])+TrCeib11815[[#This Row],[Tt_tex]]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B27B3DA-6738-4AEF-A059-CAC6607FFAAE}" name="VeredaTr12916" displayName="VeredaTr12916" ref="N3:Y108" totalsRowShown="0" headerRowDxfId="174" dataDxfId="173">
  <tableColumns count="12">
    <tableColumn id="1" xr3:uid="{81DF402B-AD1F-427D-B434-CF89DBCE15C9}" name="i/u" dataDxfId="172"/>
    <tableColumn id="15" xr3:uid="{553F9CD6-8D7B-4717-847D-DBBB18816A76}" name="Terminal" dataDxfId="171"/>
    <tableColumn id="2" xr3:uid="{6928D786-6630-480E-A701-17206B25258E}" name="BUS" dataDxfId="170"/>
    <tableColumn id="3" xr3:uid="{3C956052-B222-4C3B-AAF7-F554D4381DD3}" name="HORA_INI" dataDxfId="169"/>
    <tableColumn id="4" xr3:uid="{FEA765B6-769C-4899-A1D2-C424EBC91EBE}" name="i-p" dataDxfId="168"/>
    <tableColumn id="5" xr3:uid="{D58B38EB-132E-420B-80F2-206B9B326D53}" name="i" dataDxfId="167">
      <calculatedColumnFormula>VLOOKUP(VeredaTr12916[[#This Row],[HORA_INI]],Ruta2[[HORA]:[iD]],5,TRUE)</calculatedColumnFormula>
    </tableColumn>
    <tableColumn id="6" xr3:uid="{AC3DE36C-CA68-423B-82A1-32B34846990C}" name="Tr" dataDxfId="166">
      <calculatedColumnFormula>+$Q$2</calculatedColumnFormula>
    </tableColumn>
    <tableColumn id="7" xr3:uid="{152AA7EB-1FEA-4764-9B22-E45DB5CD798F}" name="HORA_FIN" dataDxfId="165">
      <calculatedColumnFormula>+Q4+T4</calculatedColumnFormula>
    </tableColumn>
    <tableColumn id="8" xr3:uid="{13EB88C2-F5B9-438B-82D2-45B3D705D22F}" name="Tt_Cal" dataDxfId="164"/>
    <tableColumn id="9" xr3:uid="{492D692A-AA19-4209-B926-4123A1893AF4}" name="Tt_tex" dataDxfId="163"/>
    <tableColumn id="10" xr3:uid="{AD1A6DEC-345B-453A-94B8-4DA6C3F068BE}" name="H_SUG" dataDxfId="162">
      <calculatedColumnFormula>+Q4+V4</calculatedColumnFormula>
    </tableColumn>
    <tableColumn id="11" xr3:uid="{4B5D734F-B0FD-4DDC-8F44-AFC6F6B0C55D}" name="T" dataDxfId="161">
      <calculatedColumnFormula>(U4-Q4+VeredaTr12916[[#This Row],[Tt_tex]])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90AEBFE-D5C9-4234-99FD-BAAFD27112B4}" name="Tabla17" displayName="Tabla17" ref="A1:N214" totalsRowShown="0" headerRowDxfId="156" dataDxfId="155" tableBorderDxfId="154">
  <autoFilter ref="A1:N214" xr:uid="{790AEBFE-D5C9-4234-99FD-BAAFD27112B4}">
    <filterColumn colId="2">
      <filters>
        <filter val="10"/>
      </filters>
    </filterColumn>
  </autoFilter>
  <sortState xmlns:xlrd2="http://schemas.microsoft.com/office/spreadsheetml/2017/richdata2" ref="A2:L214">
    <sortCondition ref="D1:D214"/>
  </sortState>
  <tableColumns count="14">
    <tableColumn id="1" xr3:uid="{2B5333A7-E03E-4985-9DDC-6354F131DF8A}" name="i/u" dataDxfId="153"/>
    <tableColumn id="2" xr3:uid="{DE708833-E7EA-44F3-997A-05F0802B0DFE}" name="Terminal" dataDxfId="152"/>
    <tableColumn id="3" xr3:uid="{1B00116D-FA04-477D-A6B7-3D868FF9C1D0}" name="BUS" dataDxfId="151"/>
    <tableColumn id="4" xr3:uid="{537E5F5B-2DFF-4EE2-9B4C-14D7F82BA801}" name="HORA_INI" dataDxfId="150"/>
    <tableColumn id="5" xr3:uid="{8C7A0FCC-935C-4714-9B96-ABD434E4061B}" name="i-p" dataDxfId="149"/>
    <tableColumn id="6" xr3:uid="{7DDC9A8E-252B-488A-873C-84D66E4DF46A}" name="i" dataDxfId="148"/>
    <tableColumn id="7" xr3:uid="{BEE268F3-AF01-4863-B0EB-A3D04610D87A}" name="Tr" dataDxfId="147"/>
    <tableColumn id="8" xr3:uid="{DC8BA186-74D6-47FA-B43A-0977A2191183}" name="HORA_FIN" dataDxfId="146"/>
    <tableColumn id="9" xr3:uid="{8283A513-9B29-43F9-93BB-15B6901C5D16}" name="Tt_Cal" dataDxfId="145"/>
    <tableColumn id="10" xr3:uid="{A0835E13-210F-4A41-B1A5-1104734D3C5A}" name="Tt_tex" dataDxfId="144"/>
    <tableColumn id="11" xr3:uid="{62282321-054E-479E-9B85-9A2D9AECD49F}" name="H_SUG" dataDxfId="143"/>
    <tableColumn id="12" xr3:uid="{502E705F-50C7-4AD6-935F-6C75A06AE330}" name="T" dataDxfId="142"/>
    <tableColumn id="13" xr3:uid="{185F1A8A-3DC1-4A7F-9709-458F49A7FF97}" name="TIPO_TABLA" dataDxfId="141"/>
    <tableColumn id="14" xr3:uid="{4FF8E8FD-7867-48CB-9767-383A14ED2ACF}" name="PARTE" dataDxfId="1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B16252-7368-4E5E-B44B-C5F8F0BD3A17}" name="ofertaPradera4" displayName="ofertaPradera4" ref="A1:F17" totalsRowShown="0" headerRowDxfId="137">
  <autoFilter ref="A1:F17" xr:uid="{00000000-0009-0000-0100-000001000000}"/>
  <tableColumns count="6">
    <tableColumn id="1" xr3:uid="{893E6D44-9266-4232-B70E-2BF1CE857BA1}" name="RUTA"/>
    <tableColumn id="2" xr3:uid="{0B61B358-2CA3-4BE7-8D40-4B4408788DD1}" name="HORA" dataDxfId="136"/>
    <tableColumn id="3" xr3:uid="{054062FC-0E87-4505-B8D2-A1A20D4AD42B}" name="BUSES"/>
    <tableColumn id="4" xr3:uid="{FEA6519B-B67D-4160-94B9-A17D77C666E7}" name="Tc"/>
    <tableColumn id="5" xr3:uid="{67438ED5-36AE-4FB1-9F15-5BCA179435A9}" name="iC" dataDxfId="135">
      <calculatedColumnFormula>+D2/C2</calculatedColumnFormula>
    </tableColumn>
    <tableColumn id="6" xr3:uid="{DB7D3841-194A-4BE0-8BFF-142A72F85D19}" name="iD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F64C4D-E0F5-4037-ADB3-23E002F88626}" name="ofertaPradera42" displayName="ofertaPradera42" ref="H1:M17" totalsRowShown="0" headerRowDxfId="134">
  <autoFilter ref="H1:M17" xr:uid="{E4F64C4D-E0F5-4037-ADB3-23E002F88626}"/>
  <tableColumns count="6">
    <tableColumn id="1" xr3:uid="{E3D1A204-E0E3-4163-B14A-DEB09C446F48}" name="RUTA"/>
    <tableColumn id="2" xr3:uid="{DB2A1DA3-8DEE-440E-A831-74E812FBF06A}" name="HORA" dataDxfId="133"/>
    <tableColumn id="3" xr3:uid="{0EE6F6CE-10CF-4B82-90EE-894F73C4EAED}" name="BUSES"/>
    <tableColumn id="4" xr3:uid="{0E79714D-D684-46AC-B79B-FF081BDA36D2}" name="Tc"/>
    <tableColumn id="5" xr3:uid="{375E00D9-DB08-4750-95E8-501F6A3BA5D9}" name="iC" dataDxfId="132">
      <calculatedColumnFormula>+K2/J2</calculatedColumnFormula>
    </tableColumn>
    <tableColumn id="6" xr3:uid="{743B2E4C-8B8E-4D27-AB40-A684F4F4D7AF}" name="iD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C73D2C-6190-4CD2-9800-9E3B31B55652}" name="TrCeib118" displayName="TrCeib118" ref="A3:N98" totalsRowShown="0" headerRowDxfId="127" dataDxfId="126">
  <autoFilter ref="A3:N98" xr:uid="{47AA8A25-BBD4-4794-93F8-72C828779525}"/>
  <tableColumns count="14">
    <tableColumn id="1" xr3:uid="{6ED63A22-9838-465C-811B-01522153524C}" name="i/u" dataDxfId="125"/>
    <tableColumn id="2" xr3:uid="{5FDF87DC-1514-4C1B-A61F-B530E6B4CA7C}" name="BUS" dataDxfId="124"/>
    <tableColumn id="3" xr3:uid="{F9E4CC21-2B50-4438-9018-B869F6DE24FC}" name="HORA" dataDxfId="123"/>
    <tableColumn id="4" xr3:uid="{FBB6C9F7-5A26-4D8E-9028-E4CBA6DAF68E}" name="i-p" dataDxfId="122">
      <calculatedColumnFormula>C4-C3</calculatedColumnFormula>
    </tableColumn>
    <tableColumn id="6" xr3:uid="{058F8527-B38A-4445-A519-8D6A89C64F6C}" name="i" dataDxfId="121"/>
    <tableColumn id="5" xr3:uid="{2F587837-41D6-4792-8024-79FC4C302A21}" name="Tr" dataDxfId="120">
      <calculatedColumnFormula>+$D$2</calculatedColumnFormula>
    </tableColumn>
    <tableColumn id="7" xr3:uid="{0451F9D8-E019-45CF-AC12-8BDFFF008354}" name="TerAgne" dataDxfId="119">
      <calculatedColumnFormula>C4+F4</calculatedColumnFormula>
    </tableColumn>
    <tableColumn id="8" xr3:uid="{2BA73E70-1EBE-46FA-93C4-EE2A8F02AD87}" name="Tt_Cal" dataDxfId="118">
      <calculatedColumnFormula>+(C3+E4)-C4</calculatedColumnFormula>
    </tableColumn>
    <tableColumn id="9" xr3:uid="{811BD23B-60B4-459B-A2DD-0463F9BC508F}" name="Tt_tex" dataDxfId="117"/>
    <tableColumn id="10" xr3:uid="{876D0137-841B-40FC-A3F1-30F99B4B7109}" name="H_SUG" dataDxfId="116">
      <calculatedColumnFormula>+C4+H4</calculatedColumnFormula>
    </tableColumn>
    <tableColumn id="11" xr3:uid="{6F6F5F4C-5A80-4C68-858B-ACD94CF53A7B}" name="T1" dataDxfId="115">
      <calculatedColumnFormula>(G4-C4)+TrCeib118[[#This Row],[Tt_tex]]</calculatedColumnFormula>
    </tableColumn>
    <tableColumn id="12" xr3:uid="{CE29E538-122F-466A-9FC2-59ED28F0EDAD}" name="T2" dataDxfId="114">
      <calculatedColumnFormula>SUMIF(B$4:$B4,TrCeib118[[#This Row],[BUS]],$K$4:K4)</calculatedColumnFormula>
    </tableColumn>
    <tableColumn id="13" xr3:uid="{BA41362A-9317-4367-A6DB-889708D4F19D}" name="∑TrCeib" dataDxfId="113">
      <calculatedColumnFormula>_xlfn.IFNA(VLOOKUP(TrCeib118[[#This Row],[BUS]],_xlfn._xlws.SORT(VeredaTr129[[BUS]:[T2]],11,-1,FALSE),11,FALSE),0)</calculatedColumnFormula>
    </tableColumn>
    <tableColumn id="14" xr3:uid="{6F208619-3D1A-475F-9731-695C753799E5}" name="∑" dataDxfId="112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94580-7392-4122-A04D-9F2A66007B86}" name="VeredaTr129" displayName="VeredaTr129" ref="R3:AE95" totalsRowShown="0" headerRowDxfId="111" dataDxfId="110">
  <autoFilter ref="R3:AE95" xr:uid="{B0CD0B8F-A9AC-4282-8FE9-51CD72F7406D}"/>
  <tableColumns count="14">
    <tableColumn id="1" xr3:uid="{AC19F5AD-5E36-460A-99A2-2F730BA05148}" name="i/u" dataDxfId="109"/>
    <tableColumn id="2" xr3:uid="{520E9CDD-B76B-4EB1-9D55-3D1CBEFAE87C}" name="BUS" dataDxfId="108"/>
    <tableColumn id="3" xr3:uid="{67E27E1D-AB3C-4D40-8B27-A7E5AF4A78DE}" name="HORA" dataDxfId="107"/>
    <tableColumn id="4" xr3:uid="{12141300-970F-493A-ABDB-BC8719095FF8}" name="i-p" dataDxfId="106">
      <calculatedColumnFormula>T4-T3</calculatedColumnFormula>
    </tableColumn>
    <tableColumn id="5" xr3:uid="{4FC731B1-7DF3-4C4F-A763-91294EB48BE0}" name="i" dataDxfId="105"/>
    <tableColumn id="6" xr3:uid="{8E244D79-0D26-4E59-B37F-DB8E67547180}" name="Tr" dataDxfId="104">
      <calculatedColumnFormula>+$U$2</calculatedColumnFormula>
    </tableColumn>
    <tableColumn id="7" xr3:uid="{7A4CBC9A-3985-44EF-9E79-89439F08C535}" name="TerMog" dataDxfId="103">
      <calculatedColumnFormula>+T4+W4</calculatedColumnFormula>
    </tableColumn>
    <tableColumn id="8" xr3:uid="{37B9C38E-8FFC-425E-A0F2-72DDD5DDE66B}" name="Tt_Cal" dataDxfId="102">
      <calculatedColumnFormula>+(T3+V4)-T4</calculatedColumnFormula>
    </tableColumn>
    <tableColumn id="9" xr3:uid="{24C32B4B-5359-4196-9298-9C4AFA64A018}" name="Tt_tex" dataDxfId="101"/>
    <tableColumn id="10" xr3:uid="{B0B30131-9C54-4DD6-9408-0ECA8A734105}" name="H_SUG" dataDxfId="100">
      <calculatedColumnFormula>+T4+Y4</calculatedColumnFormula>
    </tableColumn>
    <tableColumn id="11" xr3:uid="{1539496D-4C08-4B32-A570-4C8B987572AE}" name="T1" dataDxfId="99">
      <calculatedColumnFormula>(X4-T4)</calculatedColumnFormula>
    </tableColumn>
    <tableColumn id="12" xr3:uid="{DC66091A-72B8-4D4D-915F-399BDAF433EC}" name="T2" dataDxfId="98">
      <calculatedColumnFormula>SUMIF($S$4:S4,S4,$AB$4:AB4)</calculatedColumnFormula>
    </tableColumn>
    <tableColumn id="13" xr3:uid="{59902793-2E11-4ED4-B517-8490140AFEBB}" name="∑VeredaTr" dataDxfId="97">
      <calculatedColumnFormula>_xlfn.IFNA(VLOOKUP(VeredaTr129[[#This Row],[BUS]],_xlfn._xlws.SORT(TrCeib118[[BUS]:[T2]],11,-1,FALSE),11,FALSE),0)</calculatedColumnFormula>
    </tableColumn>
    <tableColumn id="14" xr3:uid="{07F8783B-33FB-4304-B56F-C2A677F2FA6B}" name="∑" dataDxfId="96">
      <calculatedColumnFormula>+VeredaTr129[[#This Row],[∑VeredaTr]]+VeredaTr129[[#This Row],[T2]]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F9B68C-0212-47FF-A4DD-956BC767AE41}" name="TrCeib116" displayName="TrCeib116" ref="A3:N98" totalsRowShown="0" headerRowDxfId="91" dataDxfId="90">
  <autoFilter ref="A3:N98" xr:uid="{47AA8A25-BBD4-4794-93F8-72C828779525}"/>
  <tableColumns count="14">
    <tableColumn id="1" xr3:uid="{6D04968F-68FC-42D7-9871-7204FD70F4B0}" name="i/u" dataDxfId="89"/>
    <tableColumn id="2" xr3:uid="{00375384-3861-4C30-9CB9-A73BFEA977CE}" name="BUS" dataDxfId="88"/>
    <tableColumn id="3" xr3:uid="{5A99BE06-7473-424C-ADEC-D5F7D32DCF5F}" name="HORA" dataDxfId="87"/>
    <tableColumn id="4" xr3:uid="{E65C90D9-BFC5-4258-AF60-A76B07AC518B}" name="i-p" dataDxfId="86">
      <calculatedColumnFormula>C4-C3</calculatedColumnFormula>
    </tableColumn>
    <tableColumn id="6" xr3:uid="{9641CCAC-57EB-42BB-9126-D6CC6551FE8B}" name="i" dataDxfId="85"/>
    <tableColumn id="5" xr3:uid="{21FA6BA6-42EC-440D-8AE8-C2DF8C7F323F}" name="Tr" dataDxfId="84">
      <calculatedColumnFormula>+$D$2</calculatedColumnFormula>
    </tableColumn>
    <tableColumn id="7" xr3:uid="{696B0AB1-4E4E-4EFE-91ED-D8FC7561CDC3}" name="TerAgne" dataDxfId="83">
      <calculatedColumnFormula>C4+F4</calculatedColumnFormula>
    </tableColumn>
    <tableColumn id="8" xr3:uid="{A8C8B6C9-8561-4F12-9DAB-2AA3194B83B6}" name="Tt_Cal" dataDxfId="82">
      <calculatedColumnFormula>+(C3+E4)-C4</calculatedColumnFormula>
    </tableColumn>
    <tableColumn id="9" xr3:uid="{EEA4950E-9414-4248-ABCE-3E81DBAF8F15}" name="Tt_tex" dataDxfId="81"/>
    <tableColumn id="10" xr3:uid="{F55FE987-7EFE-4195-B026-4768B0944136}" name="H_SUG" dataDxfId="80">
      <calculatedColumnFormula>+C4+H4</calculatedColumnFormula>
    </tableColumn>
    <tableColumn id="11" xr3:uid="{F6691461-8903-411D-911E-7D7642B299E6}" name="T1" dataDxfId="79">
      <calculatedColumnFormula>(G4-C4)+TrCeib116[[#This Row],[Tt_tex]]</calculatedColumnFormula>
    </tableColumn>
    <tableColumn id="12" xr3:uid="{CB2FBADD-615A-49D0-9C4A-50A588C9BADC}" name="T2" dataDxfId="78">
      <calculatedColumnFormula>SUMIF(B$4:$B4,TrCeib116[[#This Row],[BUS]],$K$4:K4)</calculatedColumnFormula>
    </tableColumn>
    <tableColumn id="13" xr3:uid="{FBBEF517-ED1D-4670-9054-6466B9C79CA5}" name="∑TrCeib" dataDxfId="77">
      <calculatedColumnFormula>_xlfn.IFNA(VLOOKUP(TrCeib116[[#This Row],[BUS]],_xlfn._xlws.SORT(VeredaTr127[[BUS]:[T2]],11,-1,FALSE),11,FALSE),0)</calculatedColumnFormula>
    </tableColumn>
    <tableColumn id="14" xr3:uid="{76B40800-5421-41A6-8EF4-8202B1FE77E4}" name="∑" dataDxfId="76">
      <calculatedColumnFormula>+TrCeib116[[#This Row],[∑TrCeib]]+TrCeib116[[#This Row],[T2]]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82167C-7282-48F3-9BD8-45D7C3CA0551}" name="VeredaTr127" displayName="VeredaTr127" ref="R3:AE101" totalsRowShown="0" headerRowDxfId="75" dataDxfId="74">
  <autoFilter ref="R3:AE101" xr:uid="{B0CD0B8F-A9AC-4282-8FE9-51CD72F7406D}"/>
  <tableColumns count="14">
    <tableColumn id="1" xr3:uid="{A2FA3852-BB3C-40B5-A2A5-E0CE09A6D329}" name="i/u" dataDxfId="73"/>
    <tableColumn id="2" xr3:uid="{B57AC9DD-3FFE-4A9F-AE57-59637EF0AD0F}" name="BUS" dataDxfId="72"/>
    <tableColumn id="3" xr3:uid="{A6AF4056-25FD-4AFD-992C-890B92CE2D9E}" name="HORA" dataDxfId="71"/>
    <tableColumn id="4" xr3:uid="{947AE342-AB09-477D-B3E1-D3CB4D9DD296}" name="i-p" dataDxfId="70">
      <calculatedColumnFormula>T4-T3</calculatedColumnFormula>
    </tableColumn>
    <tableColumn id="5" xr3:uid="{8BF3301E-6481-4E23-BD79-51119CBADD31}" name="i" dataDxfId="69"/>
    <tableColumn id="6" xr3:uid="{3330EA6D-0938-4088-95FD-CEA648BF8F15}" name="Tr" dataDxfId="68">
      <calculatedColumnFormula>+$U$2</calculatedColumnFormula>
    </tableColumn>
    <tableColumn id="7" xr3:uid="{D178859D-B400-4A9E-850B-D9C1F3D0D3A8}" name="TerMog" dataDxfId="67">
      <calculatedColumnFormula>+T4+W4</calculatedColumnFormula>
    </tableColumn>
    <tableColumn id="8" xr3:uid="{1AC757EE-3238-4CAE-9DCA-2FEA920DE3A1}" name="Tt_Cal" dataDxfId="66">
      <calculatedColumnFormula>+(T3+V4)-T4</calculatedColumnFormula>
    </tableColumn>
    <tableColumn id="9" xr3:uid="{451CC09D-D12B-4F1B-967F-06F527ECEDE5}" name="Tt_tex" dataDxfId="65"/>
    <tableColumn id="10" xr3:uid="{54FCC165-9F9B-4466-BB4F-A454322A685E}" name="H_SUG" dataDxfId="64">
      <calculatedColumnFormula>+T4+Y4</calculatedColumnFormula>
    </tableColumn>
    <tableColumn id="11" xr3:uid="{6C691D6A-7E30-4719-861D-C91B7DD242FA}" name="T1" dataDxfId="63">
      <calculatedColumnFormula>(X4-T4)</calculatedColumnFormula>
    </tableColumn>
    <tableColumn id="12" xr3:uid="{F9BD3116-7647-40E3-B59F-06A477182633}" name="T2" dataDxfId="62">
      <calculatedColumnFormula>SUMIF($S$4:S4,S4,$AB$4:AB4)</calculatedColumnFormula>
    </tableColumn>
    <tableColumn id="13" xr3:uid="{11F4F0DA-4133-46B7-B239-5E942ECB895C}" name="∑VeredaTr" dataDxfId="61">
      <calculatedColumnFormula>_xlfn.IFNA(VLOOKUP(VeredaTr127[[#This Row],[BUS]],_xlfn._xlws.SORT(TrCeib116[[BUS]:[T2]],11,-1,FALSE),11,FALSE),0)</calculatedColumnFormula>
    </tableColumn>
    <tableColumn id="14" xr3:uid="{5C56CE3B-45DB-4A30-9172-A42F4C3F2C36}" name="∑" dataDxfId="60">
      <calculatedColumnFormula>+VeredaTr127[[#This Row],[∑VeredaTr]]+VeredaTr127[[#This Row],[T2]]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BCFBAA-A636-4565-8D14-2EBFA636636F}" name="TrCeib11" displayName="TrCeib11" ref="A3:N42" totalsRowShown="0" headerRowDxfId="55" dataDxfId="54">
  <autoFilter ref="A3:N42" xr:uid="{47AA8A25-BBD4-4794-93F8-72C828779525}"/>
  <tableColumns count="14">
    <tableColumn id="1" xr3:uid="{37BB3358-D4AE-4A31-9551-80B5F84364ED}" name="i/u" dataDxfId="53"/>
    <tableColumn id="2" xr3:uid="{AC11439E-9E60-4994-8A26-DA03E63198AB}" name="BUS" dataDxfId="52"/>
    <tableColumn id="3" xr3:uid="{C05D46CE-52BA-415D-87DD-311A0ED1AF92}" name="HORA" dataDxfId="51"/>
    <tableColumn id="4" xr3:uid="{9881CFE8-B840-4373-9937-76FE2BB29326}" name="i-p" dataDxfId="50">
      <calculatedColumnFormula>C4-C3</calculatedColumnFormula>
    </tableColumn>
    <tableColumn id="6" xr3:uid="{800B406E-44C3-4B01-A75E-E589B79F7950}" name="i" dataDxfId="49"/>
    <tableColumn id="5" xr3:uid="{FF12FD5E-1D0A-4875-AEF1-B8F28EEFEF6A}" name="Tr" dataDxfId="48">
      <calculatedColumnFormula>+$D$2</calculatedColumnFormula>
    </tableColumn>
    <tableColumn id="7" xr3:uid="{F2271A31-0E8F-4CF0-96C8-9B8BF8140862}" name="TerAgne" dataDxfId="47">
      <calculatedColumnFormula>C4+F4</calculatedColumnFormula>
    </tableColumn>
    <tableColumn id="8" xr3:uid="{D044EA3D-6531-4E32-8F8D-C63FD7BD7F48}" name="Tt_Cal" dataDxfId="46">
      <calculatedColumnFormula>+(C3+E4)-C4</calculatedColumnFormula>
    </tableColumn>
    <tableColumn id="9" xr3:uid="{5ADFCB7F-688B-446B-85D3-EEB67148CAD9}" name="Tt_tex" dataDxfId="45"/>
    <tableColumn id="10" xr3:uid="{CEB72500-62F7-4EC9-A926-81FD251E7040}" name="H_SUG" dataDxfId="44">
      <calculatedColumnFormula>+C4+H4</calculatedColumnFormula>
    </tableColumn>
    <tableColumn id="11" xr3:uid="{6E561F23-0A55-49B2-A5EE-89C4BA2C0B41}" name="T1" dataDxfId="43">
      <calculatedColumnFormula>(G4-C4)+TrCeib11[[#This Row],[Tt_tex]]</calculatedColumnFormula>
    </tableColumn>
    <tableColumn id="12" xr3:uid="{72B0A55F-2B5E-42F4-832B-3F3441BE0764}" name="T2" dataDxfId="42">
      <calculatedColumnFormula>SUMIF(B$4:$B4,TrCeib11[[#This Row],[BUS]],$K$4:K4)</calculatedColumnFormula>
    </tableColumn>
    <tableColumn id="13" xr3:uid="{F1449866-3590-4D1E-8764-8BAD76F921F5}" name="∑TrCeib" dataDxfId="41">
      <calculatedColumnFormula>_xlfn.IFNA(VLOOKUP(TrCeib11[[#This Row],[BUS]],_xlfn._xlws.SORT(VeredaTr12[[BUS]:[T2]],11,-1,FALSE),11,FALSE),0)</calculatedColumnFormula>
    </tableColumn>
    <tableColumn id="14" xr3:uid="{2721A274-11ED-4FF3-BEB7-66878B562FF2}" name="∑" dataDxfId="40">
      <calculatedColumnFormula>+TrCeib11[[#This Row],[∑TrCeib]]+TrCeib11[[#This Row],[T2]]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30922C7-6166-43CD-9BCD-08D8F3B3EE22}" name="VeredaTr12" displayName="VeredaTr12" ref="R3:AE46" totalsRowShown="0" headerRowDxfId="39" dataDxfId="38">
  <autoFilter ref="R3:AE46" xr:uid="{B0CD0B8F-A9AC-4282-8FE9-51CD72F7406D}"/>
  <tableColumns count="14">
    <tableColumn id="1" xr3:uid="{9C65AC66-2595-481C-B200-A10A4D76E51B}" name="i/u" dataDxfId="37"/>
    <tableColumn id="2" xr3:uid="{052DC533-DB0A-4F9C-AB1C-7550C9627C63}" name="BUS" dataDxfId="36"/>
    <tableColumn id="3" xr3:uid="{8488492B-78BA-4F63-9140-4C85DAA69A4B}" name="HORA" dataDxfId="35"/>
    <tableColumn id="4" xr3:uid="{CDCBAC00-60C4-412A-AEBB-AFC3065847FF}" name="i-p" dataDxfId="34">
      <calculatedColumnFormula>T4-T3</calculatedColumnFormula>
    </tableColumn>
    <tableColumn id="5" xr3:uid="{0C038A8D-689D-4A61-BC3D-45E2D568172F}" name="i" dataDxfId="33"/>
    <tableColumn id="6" xr3:uid="{F95C48B6-FD60-4BFB-B107-4038001F26FF}" name="Tr" dataDxfId="32">
      <calculatedColumnFormula>+$U$2</calculatedColumnFormula>
    </tableColumn>
    <tableColumn id="7" xr3:uid="{707C1BC2-5273-44A5-A8A6-AD0B1B0D4883}" name="TerMog" dataDxfId="31">
      <calculatedColumnFormula>+T4+W4</calculatedColumnFormula>
    </tableColumn>
    <tableColumn id="8" xr3:uid="{1D12C7DB-F771-4390-A19F-D9652B79F1C2}" name="Tt_Cal" dataDxfId="30">
      <calculatedColumnFormula>+(T3+V4)-T4</calculatedColumnFormula>
    </tableColumn>
    <tableColumn id="9" xr3:uid="{3E848C79-5A8B-4C1C-A0DE-AD9B341E25E0}" name="Tt_tex" dataDxfId="29"/>
    <tableColumn id="10" xr3:uid="{0873FE35-1E61-45DC-BB27-F65F6F504EB8}" name="H_SUG" dataDxfId="28">
      <calculatedColumnFormula>+T4+Y4</calculatedColumnFormula>
    </tableColumn>
    <tableColumn id="11" xr3:uid="{9E0CA1FB-2759-4E3A-B214-F45ED84D66DC}" name="T1" dataDxfId="27">
      <calculatedColumnFormula>(X4-T4)</calculatedColumnFormula>
    </tableColumn>
    <tableColumn id="12" xr3:uid="{CF2F2D84-47D5-46B8-9668-183236E94763}" name="T2" dataDxfId="26">
      <calculatedColumnFormula>SUMIF($S$4:S4,S4,$AB$4:AB4)</calculatedColumnFormula>
    </tableColumn>
    <tableColumn id="13" xr3:uid="{EC7E6677-AC98-44A0-B9AD-4B31A177ADDB}" name="∑VeredaTr" dataDxfId="25">
      <calculatedColumnFormula>_xlfn.IFNA(VLOOKUP(VeredaTr12[[#This Row],[BUS]],_xlfn._xlws.SORT(TrCeib11[[BUS]:[T2]],11,-1,FALSE),11,FALSE),0)</calculatedColumnFormula>
    </tableColumn>
    <tableColumn id="14" xr3:uid="{2759676F-ED20-4195-BA48-8158F936B637}" name="∑" dataDxfId="24">
      <calculatedColumnFormula>+VeredaTr12[[#This Row],[∑VeredaTr]]+VeredaTr12[[#This Row],[T2]]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949FBEA-DB39-4AF4-9F2B-680CF991F2C6}" name="TrCeib1113" displayName="TrCeib1113" ref="A1:O188" totalsRowShown="0" headerRowDxfId="15" dataDxfId="14">
  <autoFilter ref="A1:O188" xr:uid="{47AA8A25-BBD4-4794-93F8-72C828779525}"/>
  <sortState xmlns:xlrd2="http://schemas.microsoft.com/office/spreadsheetml/2017/richdata2" ref="A2:O188">
    <sortCondition ref="D1:D188"/>
  </sortState>
  <tableColumns count="15">
    <tableColumn id="1" xr3:uid="{F18AF456-FD2F-4798-8840-387F157EC3EB}" name="i/u" dataDxfId="13"/>
    <tableColumn id="15" xr3:uid="{8D837777-D829-4457-AE9C-1AF9AE15F42E}" name="DESPA"/>
    <tableColumn id="2" xr3:uid="{0F8A8C3E-9A44-4D0D-85C8-E139C78FA107}" name="BUS" dataDxfId="12"/>
    <tableColumn id="3" xr3:uid="{D0D17F74-E023-4A46-A37C-F7EECC152634}" name="HORA" dataDxfId="11"/>
    <tableColumn id="4" xr3:uid="{DBC0AAD2-9E73-4854-9AB4-BF631A24E104}" name="i-p" dataDxfId="10"/>
    <tableColumn id="6" xr3:uid="{7BF84134-981A-4177-A7CC-0973DDCD4024}" name="i" dataDxfId="9"/>
    <tableColumn id="5" xr3:uid="{C99FA286-2E0E-47F8-A90A-7EED7189D3F2}" name="Tr" dataDxfId="8">
      <calculatedColumnFormula>+$D$2</calculatedColumnFormula>
    </tableColumn>
    <tableColumn id="7" xr3:uid="{17D693CB-05A4-4D9F-BEE9-769D0DDC6326}" name="VeredaTr" dataDxfId="7">
      <calculatedColumnFormula>D2+G2</calculatedColumnFormula>
    </tableColumn>
    <tableColumn id="8" xr3:uid="{11807AC0-7899-4962-ACA4-43A49A1208D1}" name="Tt_for" dataDxfId="6"/>
    <tableColumn id="9" xr3:uid="{180F02AA-F2CB-49A6-AD6A-28BB53648309}" name="Tt_tex" dataDxfId="5"/>
    <tableColumn id="10" xr3:uid="{A02E072D-46A6-471B-999F-E09F31CAB564}" name="H_SUG" dataDxfId="4">
      <calculatedColumnFormula>+D2+I2</calculatedColumnFormula>
    </tableColumn>
    <tableColumn id="11" xr3:uid="{3A90DAF1-9BEC-4C57-8FAC-DC5EC902E56D}" name="T1" dataDxfId="3">
      <calculatedColumnFormula>(H2-D2)+TrCeib118[[#This Row],[Tt_tex]]</calculatedColumnFormula>
    </tableColumn>
    <tableColumn id="12" xr3:uid="{87E87EFC-86B7-4B60-A0F8-AB182060F569}" name="T2" dataDxfId="2"/>
    <tableColumn id="13" xr3:uid="{F06BEF70-52BB-417E-A18F-DD734DC2D7E9}" name="∑TrCeib" dataDxfId="1">
      <calculatedColumnFormula>_xlfn.IFNA(VLOOKUP(TrCeib118[[#This Row],[BUS]],_xlfn._xlws.SORT(VeredaTr129[[BUS]:[T2]],11,-1,FALSE),11,FALSE),0)</calculatedColumnFormula>
    </tableColumn>
    <tableColumn id="14" xr3:uid="{5F4D1E96-97AD-470C-8AA1-5385581FC922}" name="∑" dataDxfId="0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7"/>
  <sheetViews>
    <sheetView showGridLines="0" workbookViewId="0">
      <selection activeCell="I2" sqref="I2"/>
    </sheetView>
  </sheetViews>
  <sheetFormatPr baseColWidth="10" defaultColWidth="11.453125" defaultRowHeight="14.5" x14ac:dyDescent="0.35"/>
  <cols>
    <col min="1" max="1" width="15.81640625" bestFit="1" customWidth="1"/>
    <col min="2" max="2" width="13.81640625" bestFit="1" customWidth="1"/>
    <col min="3" max="3" width="10.54296875" bestFit="1" customWidth="1"/>
    <col min="4" max="5" width="14.54296875" bestFit="1" customWidth="1"/>
    <col min="6" max="6" width="16.1796875" bestFit="1" customWidth="1"/>
    <col min="7" max="7" width="20.453125" bestFit="1" customWidth="1"/>
    <col min="8" max="8" width="13.1796875" bestFit="1" customWidth="1"/>
    <col min="9" max="9" width="14.1796875" bestFit="1" customWidth="1"/>
    <col min="10" max="10" width="12.54296875" bestFit="1" customWidth="1"/>
  </cols>
  <sheetData>
    <row r="1" spans="1:12" ht="23" x14ac:dyDescent="0.35">
      <c r="A1" s="1" t="s">
        <v>0</v>
      </c>
      <c r="B1" s="1" t="s">
        <v>1</v>
      </c>
      <c r="C1" s="1" t="s">
        <v>20</v>
      </c>
      <c r="D1" s="1" t="s">
        <v>2</v>
      </c>
      <c r="E1" s="1" t="s">
        <v>3</v>
      </c>
      <c r="F1" s="2" t="s">
        <v>24</v>
      </c>
      <c r="G1" s="2" t="s">
        <v>25</v>
      </c>
      <c r="H1" s="2" t="s">
        <v>4</v>
      </c>
      <c r="I1" s="1" t="s">
        <v>22</v>
      </c>
      <c r="J1" s="1" t="s">
        <v>23</v>
      </c>
    </row>
    <row r="2" spans="1:12" x14ac:dyDescent="0.35">
      <c r="A2" s="3" t="s">
        <v>21</v>
      </c>
      <c r="B2" s="4">
        <v>33.884999999999998</v>
      </c>
      <c r="C2" s="4">
        <v>14</v>
      </c>
      <c r="D2" s="5">
        <v>8.5</v>
      </c>
      <c r="E2" s="5">
        <v>288.02249999999998</v>
      </c>
      <c r="F2" s="6">
        <v>1.6166666666666667</v>
      </c>
      <c r="G2" s="6">
        <v>97</v>
      </c>
      <c r="H2" s="6">
        <v>20.959793814432988</v>
      </c>
      <c r="I2" s="8">
        <f>60/J2</f>
        <v>8.6597938144329891</v>
      </c>
      <c r="J2" s="9">
        <f>+G2/C2</f>
        <v>6.9285714285714288</v>
      </c>
      <c r="L2" s="10"/>
    </row>
    <row r="3" spans="1:12" x14ac:dyDescent="0.35">
      <c r="A3" s="3" t="s">
        <v>13</v>
      </c>
      <c r="B3" s="4">
        <v>28.1</v>
      </c>
      <c r="C3" s="4">
        <v>12</v>
      </c>
      <c r="D3" s="5">
        <v>8.5</v>
      </c>
      <c r="E3" s="5">
        <v>238.85000000000002</v>
      </c>
      <c r="F3" s="6">
        <v>1.5666666666666667</v>
      </c>
      <c r="G3" s="6">
        <v>94</v>
      </c>
      <c r="H3" s="6">
        <v>17.936170212765958</v>
      </c>
      <c r="I3" s="8">
        <f t="shared" ref="I3:I17" si="0">60/J3</f>
        <v>7.6595744680851068</v>
      </c>
      <c r="J3" s="9">
        <f t="shared" ref="J3:J17" si="1">+G3/C3</f>
        <v>7.833333333333333</v>
      </c>
    </row>
    <row r="4" spans="1:12" x14ac:dyDescent="0.35">
      <c r="A4" s="3" t="s">
        <v>5</v>
      </c>
      <c r="B4" s="4">
        <v>43.5</v>
      </c>
      <c r="C4" s="4">
        <v>14</v>
      </c>
      <c r="D4" s="5">
        <v>7.5</v>
      </c>
      <c r="E4" s="5">
        <v>326.25</v>
      </c>
      <c r="F4" s="6">
        <v>1.9</v>
      </c>
      <c r="G4" s="6">
        <v>114</v>
      </c>
      <c r="H4" s="6">
        <v>22.894736842105264</v>
      </c>
      <c r="I4" s="8">
        <f t="shared" si="0"/>
        <v>7.3684210526315796</v>
      </c>
      <c r="J4" s="9">
        <f t="shared" si="1"/>
        <v>8.1428571428571423</v>
      </c>
    </row>
    <row r="5" spans="1:12" x14ac:dyDescent="0.35">
      <c r="A5" s="3" t="s">
        <v>16</v>
      </c>
      <c r="B5" s="4">
        <v>21.4</v>
      </c>
      <c r="C5" s="4">
        <v>6</v>
      </c>
      <c r="D5" s="5">
        <v>10</v>
      </c>
      <c r="E5" s="5">
        <v>214</v>
      </c>
      <c r="F5" s="6">
        <v>1</v>
      </c>
      <c r="G5" s="6">
        <v>60</v>
      </c>
      <c r="H5" s="6">
        <v>21.4</v>
      </c>
      <c r="I5" s="8">
        <f t="shared" si="0"/>
        <v>6</v>
      </c>
      <c r="J5" s="9">
        <f t="shared" si="1"/>
        <v>10</v>
      </c>
    </row>
    <row r="6" spans="1:12" x14ac:dyDescent="0.35">
      <c r="A6" s="3" t="s">
        <v>17</v>
      </c>
      <c r="B6" s="4">
        <v>24.1</v>
      </c>
      <c r="C6" s="4">
        <v>6</v>
      </c>
      <c r="D6" s="5">
        <v>8</v>
      </c>
      <c r="E6" s="5">
        <v>192.8</v>
      </c>
      <c r="F6" s="6">
        <v>1.35</v>
      </c>
      <c r="G6" s="6">
        <v>81</v>
      </c>
      <c r="H6" s="6">
        <v>17.851851851851851</v>
      </c>
      <c r="I6" s="8">
        <f t="shared" si="0"/>
        <v>4.4444444444444446</v>
      </c>
      <c r="J6" s="9">
        <f t="shared" si="1"/>
        <v>13.5</v>
      </c>
    </row>
    <row r="7" spans="1:12" x14ac:dyDescent="0.35">
      <c r="A7" s="3" t="s">
        <v>10</v>
      </c>
      <c r="B7" s="4">
        <v>36.5</v>
      </c>
      <c r="C7" s="4">
        <v>5</v>
      </c>
      <c r="D7" s="5">
        <v>8</v>
      </c>
      <c r="E7" s="5">
        <v>292</v>
      </c>
      <c r="F7" s="6">
        <v>1.3166666666666667</v>
      </c>
      <c r="G7" s="6">
        <v>79</v>
      </c>
      <c r="H7" s="6">
        <v>27.721518987341774</v>
      </c>
      <c r="I7" s="8">
        <f t="shared" si="0"/>
        <v>3.7974683544303796</v>
      </c>
      <c r="J7" s="9">
        <f t="shared" si="1"/>
        <v>15.8</v>
      </c>
    </row>
    <row r="8" spans="1:12" x14ac:dyDescent="0.35">
      <c r="A8" s="3" t="s">
        <v>18</v>
      </c>
      <c r="B8" s="4">
        <v>32.692</v>
      </c>
      <c r="C8" s="4">
        <v>6</v>
      </c>
      <c r="D8" s="5">
        <v>7</v>
      </c>
      <c r="E8" s="5">
        <v>228.84399999999999</v>
      </c>
      <c r="F8" s="6">
        <v>1.7833333333333332</v>
      </c>
      <c r="G8" s="6">
        <v>107</v>
      </c>
      <c r="H8" s="6">
        <v>18.33196261682243</v>
      </c>
      <c r="I8" s="8">
        <f t="shared" si="0"/>
        <v>3.3644859813084116</v>
      </c>
      <c r="J8" s="9">
        <f t="shared" si="1"/>
        <v>17.833333333333332</v>
      </c>
    </row>
    <row r="9" spans="1:12" x14ac:dyDescent="0.35">
      <c r="A9" s="3" t="s">
        <v>19</v>
      </c>
      <c r="B9" s="4">
        <v>35.968000000000004</v>
      </c>
      <c r="C9" s="4">
        <v>6</v>
      </c>
      <c r="D9" s="5">
        <v>6.5</v>
      </c>
      <c r="E9" s="5">
        <v>233.79200000000003</v>
      </c>
      <c r="F9" s="6">
        <v>1.8</v>
      </c>
      <c r="G9" s="6">
        <v>108</v>
      </c>
      <c r="H9" s="6">
        <v>19.982222222222223</v>
      </c>
      <c r="I9" s="8">
        <f t="shared" si="0"/>
        <v>3.3333333333333335</v>
      </c>
      <c r="J9" s="9">
        <f t="shared" si="1"/>
        <v>18</v>
      </c>
    </row>
    <row r="10" spans="1:12" x14ac:dyDescent="0.35">
      <c r="A10" s="3" t="s">
        <v>15</v>
      </c>
      <c r="B10" s="4">
        <v>29.9</v>
      </c>
      <c r="C10" s="4">
        <v>4</v>
      </c>
      <c r="D10" s="5">
        <v>8</v>
      </c>
      <c r="E10" s="5">
        <v>239.2</v>
      </c>
      <c r="F10" s="6">
        <v>1.5333333333333332</v>
      </c>
      <c r="G10" s="6">
        <v>92</v>
      </c>
      <c r="H10" s="6">
        <v>19.5</v>
      </c>
      <c r="I10" s="8">
        <f t="shared" si="0"/>
        <v>2.6086956521739131</v>
      </c>
      <c r="J10" s="9">
        <f t="shared" si="1"/>
        <v>23</v>
      </c>
    </row>
    <row r="11" spans="1:12" x14ac:dyDescent="0.35">
      <c r="A11" s="3" t="s">
        <v>8</v>
      </c>
      <c r="B11" s="4">
        <v>50.5</v>
      </c>
      <c r="C11" s="4">
        <v>4</v>
      </c>
      <c r="D11" s="5">
        <v>6.5</v>
      </c>
      <c r="E11" s="5">
        <v>328.25</v>
      </c>
      <c r="F11" s="6">
        <v>1.6666666666666665</v>
      </c>
      <c r="G11" s="6">
        <v>99.999999999999986</v>
      </c>
      <c r="H11" s="6">
        <v>30.300000000000004</v>
      </c>
      <c r="I11" s="8">
        <f t="shared" si="0"/>
        <v>2.4000000000000004</v>
      </c>
      <c r="J11" s="9">
        <f t="shared" si="1"/>
        <v>24.999999999999996</v>
      </c>
    </row>
    <row r="12" spans="1:12" x14ac:dyDescent="0.35">
      <c r="A12" s="3" t="s">
        <v>6</v>
      </c>
      <c r="B12" s="4">
        <v>64.7</v>
      </c>
      <c r="C12" s="4">
        <v>3</v>
      </c>
      <c r="D12" s="5">
        <v>5.5</v>
      </c>
      <c r="E12" s="5">
        <v>355.85</v>
      </c>
      <c r="F12" s="6">
        <v>2</v>
      </c>
      <c r="G12" s="6">
        <v>120</v>
      </c>
      <c r="H12" s="6">
        <v>32.35</v>
      </c>
      <c r="I12" s="8">
        <f t="shared" si="0"/>
        <v>1.5</v>
      </c>
      <c r="J12" s="9">
        <f t="shared" si="1"/>
        <v>40</v>
      </c>
    </row>
    <row r="13" spans="1:12" x14ac:dyDescent="0.35">
      <c r="A13" s="3" t="s">
        <v>7</v>
      </c>
      <c r="B13" s="4">
        <v>64.599999999999994</v>
      </c>
      <c r="C13" s="4">
        <v>2</v>
      </c>
      <c r="D13" s="5">
        <v>6</v>
      </c>
      <c r="E13" s="5">
        <v>387.59999999999997</v>
      </c>
      <c r="F13" s="6">
        <v>2</v>
      </c>
      <c r="G13" s="6">
        <v>120</v>
      </c>
      <c r="H13" s="6">
        <v>32.299999999999997</v>
      </c>
      <c r="I13" s="8">
        <f t="shared" si="0"/>
        <v>1</v>
      </c>
      <c r="J13" s="9">
        <f t="shared" si="1"/>
        <v>60</v>
      </c>
    </row>
    <row r="14" spans="1:12" x14ac:dyDescent="0.35">
      <c r="A14" s="3" t="s">
        <v>11</v>
      </c>
      <c r="B14" s="4">
        <v>38.1</v>
      </c>
      <c r="C14" s="4">
        <v>1</v>
      </c>
      <c r="D14" s="5">
        <v>6.5</v>
      </c>
      <c r="E14" s="5">
        <v>247.65</v>
      </c>
      <c r="F14" s="6">
        <v>1.6666666666666665</v>
      </c>
      <c r="G14" s="6">
        <v>99.999999999999986</v>
      </c>
      <c r="H14" s="6">
        <v>22.860000000000003</v>
      </c>
      <c r="I14" s="8">
        <f t="shared" si="0"/>
        <v>0.60000000000000009</v>
      </c>
      <c r="J14" s="9">
        <f t="shared" si="1"/>
        <v>99.999999999999986</v>
      </c>
    </row>
    <row r="15" spans="1:12" x14ac:dyDescent="0.35">
      <c r="A15" s="3" t="s">
        <v>9</v>
      </c>
      <c r="B15" s="4">
        <v>49</v>
      </c>
      <c r="C15" s="4">
        <v>1</v>
      </c>
      <c r="D15" s="5">
        <v>6</v>
      </c>
      <c r="E15" s="5">
        <v>294</v>
      </c>
      <c r="F15" s="6">
        <v>1.7833333333333332</v>
      </c>
      <c r="G15" s="6">
        <v>107</v>
      </c>
      <c r="H15" s="6">
        <v>27.476635514018692</v>
      </c>
      <c r="I15" s="8">
        <f t="shared" si="0"/>
        <v>0.56074766355140182</v>
      </c>
      <c r="J15" s="9">
        <f t="shared" si="1"/>
        <v>107</v>
      </c>
    </row>
    <row r="16" spans="1:12" x14ac:dyDescent="0.35">
      <c r="A16" s="3" t="s">
        <v>14</v>
      </c>
      <c r="B16" s="4">
        <v>33.6</v>
      </c>
      <c r="C16" s="4">
        <v>1</v>
      </c>
      <c r="D16" s="5">
        <v>6</v>
      </c>
      <c r="E16" s="5">
        <v>201.60000000000002</v>
      </c>
      <c r="F16" s="6">
        <v>1.7833333333333332</v>
      </c>
      <c r="G16" s="6">
        <v>107</v>
      </c>
      <c r="H16" s="6">
        <v>18.841121495327105</v>
      </c>
      <c r="I16" s="8">
        <f t="shared" si="0"/>
        <v>0.56074766355140182</v>
      </c>
      <c r="J16" s="9">
        <f t="shared" si="1"/>
        <v>107</v>
      </c>
    </row>
    <row r="17" spans="1:10" x14ac:dyDescent="0.35">
      <c r="A17" s="3" t="s">
        <v>12</v>
      </c>
      <c r="B17" s="4">
        <v>48.3</v>
      </c>
      <c r="C17" s="4">
        <v>1</v>
      </c>
      <c r="D17" s="5">
        <v>5</v>
      </c>
      <c r="E17" s="5">
        <v>241.5</v>
      </c>
      <c r="F17" s="6">
        <v>2.3333333333333335</v>
      </c>
      <c r="G17" s="6">
        <v>140</v>
      </c>
      <c r="H17" s="6">
        <v>20.699999999999996</v>
      </c>
      <c r="I17" s="8">
        <f t="shared" si="0"/>
        <v>0.42857142857142855</v>
      </c>
      <c r="J17" s="9">
        <f t="shared" si="1"/>
        <v>140</v>
      </c>
    </row>
  </sheetData>
  <autoFilter ref="A1:J1" xr:uid="{00000000-0009-0000-0000-000000000000}">
    <sortState xmlns:xlrd2="http://schemas.microsoft.com/office/spreadsheetml/2017/richdata2" ref="A2:J17">
      <sortCondition descending="1" ref="J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20"/>
  <sheetViews>
    <sheetView showGridLines="0" zoomScaleNormal="100" workbookViewId="0">
      <selection activeCell="G10" sqref="G10"/>
    </sheetView>
  </sheetViews>
  <sheetFormatPr baseColWidth="10" defaultColWidth="11.453125" defaultRowHeight="14.5" x14ac:dyDescent="0.35"/>
  <cols>
    <col min="1" max="1" width="9.1796875" bestFit="1" customWidth="1"/>
    <col min="2" max="2" width="6.54296875" bestFit="1" customWidth="1"/>
    <col min="3" max="3" width="21.453125" bestFit="1" customWidth="1"/>
    <col min="4" max="4" width="4.54296875" bestFit="1" customWidth="1"/>
    <col min="5" max="5" width="8.81640625" bestFit="1" customWidth="1"/>
    <col min="6" max="6" width="9.81640625" bestFit="1" customWidth="1"/>
    <col min="7" max="7" width="10.1796875" bestFit="1" customWidth="1"/>
    <col min="8" max="8" width="12.1796875" bestFit="1" customWidth="1"/>
    <col min="9" max="9" width="12.54296875" bestFit="1" customWidth="1"/>
    <col min="10" max="10" width="7.1796875" bestFit="1" customWidth="1"/>
    <col min="11" max="11" width="3.453125" customWidth="1"/>
    <col min="12" max="14" width="6" style="18" bestFit="1" customWidth="1"/>
  </cols>
  <sheetData>
    <row r="1" spans="1:17" x14ac:dyDescent="0.35">
      <c r="L1" s="17">
        <v>0.44</v>
      </c>
      <c r="M1" s="17">
        <v>0.35</v>
      </c>
      <c r="N1" s="17">
        <v>0.21</v>
      </c>
    </row>
    <row r="2" spans="1:17" x14ac:dyDescent="0.35">
      <c r="A2" s="11" t="s">
        <v>26</v>
      </c>
      <c r="B2" s="11" t="s">
        <v>29</v>
      </c>
      <c r="C2" s="11" t="s">
        <v>30</v>
      </c>
      <c r="D2" s="14" t="s">
        <v>34</v>
      </c>
      <c r="E2" s="11" t="s">
        <v>31</v>
      </c>
      <c r="F2" s="11" t="s">
        <v>27</v>
      </c>
      <c r="G2" s="11" t="s">
        <v>28</v>
      </c>
      <c r="H2" s="11" t="s">
        <v>32</v>
      </c>
      <c r="I2" s="11" t="s">
        <v>33</v>
      </c>
      <c r="J2" s="11" t="s">
        <v>35</v>
      </c>
      <c r="L2" s="14" t="s">
        <v>37</v>
      </c>
      <c r="M2" s="14" t="s">
        <v>38</v>
      </c>
      <c r="N2" s="14" t="s">
        <v>39</v>
      </c>
    </row>
    <row r="3" spans="1:17" x14ac:dyDescent="0.35">
      <c r="A3" s="95" t="s">
        <v>21</v>
      </c>
      <c r="B3" s="98">
        <v>24</v>
      </c>
      <c r="C3" s="101">
        <v>97</v>
      </c>
      <c r="D3" s="13">
        <v>0.4</v>
      </c>
      <c r="E3" s="6">
        <v>10</v>
      </c>
      <c r="F3" s="15">
        <v>0.20833333333333334</v>
      </c>
      <c r="G3" s="15">
        <v>0.41666666666666669</v>
      </c>
      <c r="H3" s="16">
        <v>0.66666666666666663</v>
      </c>
      <c r="I3" s="16">
        <v>0.83333333333333337</v>
      </c>
      <c r="J3" s="12">
        <f>(G3-F3)+(I3-H3)</f>
        <v>0.37500000000000011</v>
      </c>
      <c r="L3" s="19">
        <v>5</v>
      </c>
      <c r="M3" s="19">
        <v>4</v>
      </c>
      <c r="N3" s="19">
        <v>2</v>
      </c>
    </row>
    <row r="4" spans="1:17" x14ac:dyDescent="0.35">
      <c r="A4" s="96"/>
      <c r="B4" s="99"/>
      <c r="C4" s="102"/>
      <c r="D4" s="13">
        <v>0.3</v>
      </c>
      <c r="E4" s="6">
        <v>7</v>
      </c>
      <c r="F4" s="15">
        <v>0.25</v>
      </c>
      <c r="G4" s="15">
        <v>0.66666666666666663</v>
      </c>
      <c r="H4" s="16"/>
      <c r="I4" s="16"/>
      <c r="J4" s="12">
        <f t="shared" ref="J4:J5" si="0">(G4-F4)+(I4-H4)</f>
        <v>0.41666666666666663</v>
      </c>
      <c r="L4" s="19">
        <v>3</v>
      </c>
      <c r="M4" s="19">
        <v>2</v>
      </c>
      <c r="N4" s="19">
        <v>2</v>
      </c>
      <c r="Q4" s="24"/>
    </row>
    <row r="5" spans="1:17" x14ac:dyDescent="0.35">
      <c r="A5" s="97"/>
      <c r="B5" s="100"/>
      <c r="C5" s="103"/>
      <c r="D5" s="13">
        <v>0.3</v>
      </c>
      <c r="E5" s="6">
        <v>7</v>
      </c>
      <c r="F5" s="15">
        <v>0.41666666666666669</v>
      </c>
      <c r="G5" s="15">
        <v>0.83333333333333337</v>
      </c>
      <c r="H5" s="16"/>
      <c r="I5" s="16"/>
      <c r="J5" s="12">
        <f t="shared" si="0"/>
        <v>0.41666666666666669</v>
      </c>
      <c r="L5" s="19">
        <v>3</v>
      </c>
      <c r="M5" s="19">
        <v>2</v>
      </c>
      <c r="N5" s="19">
        <v>1</v>
      </c>
    </row>
    <row r="6" spans="1:17" x14ac:dyDescent="0.35">
      <c r="A6" s="95" t="s">
        <v>5</v>
      </c>
      <c r="B6" s="98">
        <v>22</v>
      </c>
      <c r="C6" s="101">
        <v>110</v>
      </c>
      <c r="D6" s="13">
        <v>0.4</v>
      </c>
      <c r="E6" s="6">
        <v>10</v>
      </c>
      <c r="F6" s="15">
        <v>0.20833333333333334</v>
      </c>
      <c r="G6" s="15">
        <v>0.41666666666666669</v>
      </c>
      <c r="H6" s="16">
        <v>0.66666666666666663</v>
      </c>
      <c r="I6" s="16">
        <v>0.83333333333333337</v>
      </c>
      <c r="J6" s="12">
        <f>(G6-F6)+(I6-H6)</f>
        <v>0.37500000000000011</v>
      </c>
      <c r="L6" s="19">
        <v>5</v>
      </c>
      <c r="M6" s="19">
        <v>4</v>
      </c>
      <c r="N6" s="19">
        <v>2</v>
      </c>
    </row>
    <row r="7" spans="1:17" x14ac:dyDescent="0.35">
      <c r="A7" s="96"/>
      <c r="B7" s="99"/>
      <c r="C7" s="102"/>
      <c r="D7" s="13">
        <v>0.3</v>
      </c>
      <c r="E7" s="6">
        <v>6</v>
      </c>
      <c r="F7" s="15">
        <v>0.25</v>
      </c>
      <c r="G7" s="15">
        <v>0.66666666666666663</v>
      </c>
      <c r="H7" s="16"/>
      <c r="I7" s="16"/>
      <c r="J7" s="12">
        <f t="shared" ref="J7:J8" si="1">(G7-F7)+(I7-H7)</f>
        <v>0.41666666666666663</v>
      </c>
      <c r="L7" s="19">
        <v>3</v>
      </c>
      <c r="M7" s="19">
        <v>2</v>
      </c>
      <c r="N7" s="19">
        <v>2</v>
      </c>
    </row>
    <row r="8" spans="1:17" x14ac:dyDescent="0.35">
      <c r="A8" s="97"/>
      <c r="B8" s="100"/>
      <c r="C8" s="103"/>
      <c r="D8" s="13">
        <v>0.3</v>
      </c>
      <c r="E8" s="6">
        <v>6</v>
      </c>
      <c r="F8" s="15">
        <v>0.41666666666666669</v>
      </c>
      <c r="G8" s="15">
        <v>0.83333333333333337</v>
      </c>
      <c r="H8" s="16"/>
      <c r="I8" s="16"/>
      <c r="J8" s="12">
        <f t="shared" si="1"/>
        <v>0.41666666666666669</v>
      </c>
      <c r="L8" s="19">
        <v>3</v>
      </c>
      <c r="M8" s="19">
        <v>2</v>
      </c>
      <c r="N8" s="19">
        <v>1</v>
      </c>
    </row>
    <row r="9" spans="1:17" x14ac:dyDescent="0.35">
      <c r="A9" s="92" t="s">
        <v>13</v>
      </c>
      <c r="B9" s="93">
        <v>20</v>
      </c>
      <c r="C9" s="94">
        <v>94</v>
      </c>
      <c r="D9" s="13">
        <v>0.4</v>
      </c>
      <c r="E9" s="6">
        <f>+$B9*D9</f>
        <v>8</v>
      </c>
      <c r="F9" s="15">
        <v>0.20833333333333334</v>
      </c>
      <c r="G9" s="15">
        <v>0.41666666666666669</v>
      </c>
      <c r="H9" s="16">
        <v>0.66666666666666663</v>
      </c>
      <c r="I9" s="16">
        <v>0.83333333333333337</v>
      </c>
      <c r="J9" s="12">
        <f>(G9-F9)+(I9-H9)</f>
        <v>0.37500000000000011</v>
      </c>
      <c r="L9" s="19">
        <v>3</v>
      </c>
      <c r="M9" s="19">
        <v>3</v>
      </c>
      <c r="N9" s="19">
        <v>2</v>
      </c>
    </row>
    <row r="10" spans="1:17" x14ac:dyDescent="0.35">
      <c r="A10" s="92"/>
      <c r="B10" s="93"/>
      <c r="C10" s="94"/>
      <c r="D10" s="13">
        <v>0.3</v>
      </c>
      <c r="E10" s="6">
        <f t="shared" ref="E10:E11" si="2">+$B$9*D10</f>
        <v>6</v>
      </c>
      <c r="F10" s="15">
        <v>0.25</v>
      </c>
      <c r="G10" s="15">
        <v>0.66666666666666663</v>
      </c>
      <c r="H10" s="16"/>
      <c r="I10" s="16"/>
      <c r="J10" s="12">
        <f t="shared" ref="J10:J11" si="3">(G10-F10)+(I10-H10)</f>
        <v>0.41666666666666663</v>
      </c>
      <c r="L10" s="19">
        <v>3</v>
      </c>
      <c r="M10" s="19">
        <v>2</v>
      </c>
      <c r="N10" s="19">
        <v>1</v>
      </c>
    </row>
    <row r="11" spans="1:17" x14ac:dyDescent="0.35">
      <c r="A11" s="92"/>
      <c r="B11" s="93"/>
      <c r="C11" s="94"/>
      <c r="D11" s="13">
        <v>0.3</v>
      </c>
      <c r="E11" s="6">
        <f t="shared" si="2"/>
        <v>6</v>
      </c>
      <c r="F11" s="15">
        <v>0.41666666666666669</v>
      </c>
      <c r="G11" s="15">
        <v>0.83333333333333337</v>
      </c>
      <c r="H11" s="16"/>
      <c r="I11" s="16"/>
      <c r="J11" s="12">
        <f t="shared" si="3"/>
        <v>0.41666666666666669</v>
      </c>
      <c r="L11" s="19">
        <v>3</v>
      </c>
      <c r="M11" s="19">
        <v>2</v>
      </c>
      <c r="N11" s="19">
        <v>1</v>
      </c>
    </row>
    <row r="12" spans="1:17" x14ac:dyDescent="0.35">
      <c r="A12" s="92" t="s">
        <v>40</v>
      </c>
      <c r="B12" s="93">
        <v>14</v>
      </c>
      <c r="C12" s="94">
        <v>92</v>
      </c>
      <c r="D12" s="13">
        <v>0.4</v>
      </c>
      <c r="E12" s="6">
        <v>6</v>
      </c>
      <c r="F12" s="15">
        <v>0.20833333333333334</v>
      </c>
      <c r="G12" s="15">
        <v>0.41666666666666669</v>
      </c>
      <c r="H12" s="16">
        <v>0.66666666666666663</v>
      </c>
      <c r="I12" s="16">
        <v>0.83333333333333337</v>
      </c>
      <c r="J12" s="12">
        <f>(G12-F12)+(I12-H12)</f>
        <v>0.37500000000000011</v>
      </c>
      <c r="L12" s="19">
        <v>3</v>
      </c>
      <c r="M12" s="19">
        <v>2</v>
      </c>
      <c r="N12" s="19">
        <v>1</v>
      </c>
    </row>
    <row r="13" spans="1:17" x14ac:dyDescent="0.35">
      <c r="A13" s="92"/>
      <c r="B13" s="93"/>
      <c r="C13" s="94"/>
      <c r="D13" s="13">
        <v>0.3</v>
      </c>
      <c r="E13" s="6">
        <v>4</v>
      </c>
      <c r="F13" s="15">
        <v>0.25</v>
      </c>
      <c r="G13" s="15">
        <v>0.66666666666666663</v>
      </c>
      <c r="H13" s="16"/>
      <c r="I13" s="16"/>
      <c r="J13" s="12">
        <f t="shared" ref="J13:J14" si="4">(G13-F13)+(I13-H13)</f>
        <v>0.41666666666666663</v>
      </c>
      <c r="L13" s="19">
        <v>2</v>
      </c>
      <c r="M13" s="19">
        <v>1</v>
      </c>
      <c r="N13" s="19">
        <v>1</v>
      </c>
    </row>
    <row r="14" spans="1:17" x14ac:dyDescent="0.35">
      <c r="A14" s="92"/>
      <c r="B14" s="93"/>
      <c r="C14" s="94"/>
      <c r="D14" s="13">
        <v>0.3</v>
      </c>
      <c r="E14" s="6">
        <v>4</v>
      </c>
      <c r="F14" s="15">
        <v>0.41666666666666669</v>
      </c>
      <c r="G14" s="15">
        <v>0.83333333333333337</v>
      </c>
      <c r="H14" s="16"/>
      <c r="I14" s="16"/>
      <c r="J14" s="12">
        <f t="shared" si="4"/>
        <v>0.41666666666666669</v>
      </c>
      <c r="L14" s="19">
        <v>1</v>
      </c>
      <c r="M14" s="19">
        <v>2</v>
      </c>
      <c r="N14" s="19">
        <v>1</v>
      </c>
    </row>
    <row r="15" spans="1:17" x14ac:dyDescent="0.35">
      <c r="A15" s="92" t="s">
        <v>41</v>
      </c>
      <c r="B15" s="93">
        <v>18</v>
      </c>
      <c r="C15" s="94">
        <f>60+56</f>
        <v>116</v>
      </c>
      <c r="D15" s="13">
        <v>0.4</v>
      </c>
      <c r="E15" s="6">
        <v>8</v>
      </c>
      <c r="F15" s="15">
        <v>0.20833333333333334</v>
      </c>
      <c r="G15" s="15">
        <v>0.41666666666666669</v>
      </c>
      <c r="H15" s="16">
        <v>0.66666666666666663</v>
      </c>
      <c r="I15" s="16">
        <v>0.83333333333333337</v>
      </c>
      <c r="J15" s="12">
        <f>(G15-F15)+(I15-H15)</f>
        <v>0.37500000000000011</v>
      </c>
      <c r="L15" s="19">
        <v>3</v>
      </c>
      <c r="M15" s="19">
        <v>2</v>
      </c>
      <c r="N15" s="19">
        <v>1</v>
      </c>
    </row>
    <row r="16" spans="1:17" x14ac:dyDescent="0.35">
      <c r="A16" s="92"/>
      <c r="B16" s="93"/>
      <c r="C16" s="94"/>
      <c r="D16" s="13">
        <v>0.3</v>
      </c>
      <c r="E16" s="6">
        <v>5</v>
      </c>
      <c r="F16" s="15">
        <v>0.25</v>
      </c>
      <c r="G16" s="15">
        <v>0.66666666666666663</v>
      </c>
      <c r="H16" s="16"/>
      <c r="I16" s="16"/>
      <c r="J16" s="12">
        <f t="shared" ref="J16:J17" si="5">(G16-F16)+(I16-H16)</f>
        <v>0.41666666666666663</v>
      </c>
      <c r="L16" s="19">
        <v>2</v>
      </c>
      <c r="M16" s="19">
        <v>2</v>
      </c>
      <c r="N16" s="19">
        <v>1</v>
      </c>
    </row>
    <row r="17" spans="1:14" x14ac:dyDescent="0.35">
      <c r="A17" s="92"/>
      <c r="B17" s="93"/>
      <c r="C17" s="94"/>
      <c r="D17" s="13">
        <v>0.3</v>
      </c>
      <c r="E17" s="6">
        <v>5</v>
      </c>
      <c r="F17" s="15">
        <v>0.41666666666666669</v>
      </c>
      <c r="G17" s="15">
        <v>0.83333333333333337</v>
      </c>
      <c r="H17" s="16"/>
      <c r="I17" s="16"/>
      <c r="J17" s="12">
        <f t="shared" si="5"/>
        <v>0.41666666666666669</v>
      </c>
      <c r="L17" s="19">
        <v>1</v>
      </c>
      <c r="M17" s="19">
        <v>1</v>
      </c>
      <c r="N17" s="19">
        <v>1</v>
      </c>
    </row>
    <row r="18" spans="1:14" x14ac:dyDescent="0.35">
      <c r="A18" s="92" t="s">
        <v>16</v>
      </c>
      <c r="B18" s="93">
        <v>10</v>
      </c>
      <c r="C18" s="94">
        <v>60</v>
      </c>
      <c r="D18" s="13">
        <v>0.4</v>
      </c>
      <c r="E18" s="6">
        <f>+$B$18*D18</f>
        <v>4</v>
      </c>
      <c r="F18" s="15">
        <v>0.20833333333333334</v>
      </c>
      <c r="G18" s="15">
        <v>0.41666666666666669</v>
      </c>
      <c r="H18" s="16">
        <v>0.66666666666666663</v>
      </c>
      <c r="I18" s="16">
        <v>0.83333333333333337</v>
      </c>
      <c r="J18" s="12">
        <f>(G18-F18)+(I18-H18)</f>
        <v>0.37500000000000011</v>
      </c>
      <c r="L18" s="19">
        <v>2</v>
      </c>
      <c r="M18" s="19">
        <v>2</v>
      </c>
      <c r="N18" s="19">
        <v>1</v>
      </c>
    </row>
    <row r="19" spans="1:14" x14ac:dyDescent="0.35">
      <c r="A19" s="92"/>
      <c r="B19" s="93"/>
      <c r="C19" s="94"/>
      <c r="D19" s="13">
        <v>0.3</v>
      </c>
      <c r="E19" s="6">
        <f t="shared" ref="E19:E20" si="6">+$B$18*D19</f>
        <v>3</v>
      </c>
      <c r="F19" s="15">
        <v>0.25</v>
      </c>
      <c r="G19" s="15">
        <v>0.66666666666666663</v>
      </c>
      <c r="H19" s="16"/>
      <c r="I19" s="16"/>
      <c r="J19" s="12">
        <f t="shared" ref="J19:J20" si="7">(G19-F19)+(I19-H19)</f>
        <v>0.41666666666666663</v>
      </c>
      <c r="L19" s="19">
        <v>1</v>
      </c>
      <c r="M19" s="19">
        <v>1</v>
      </c>
      <c r="N19" s="19">
        <v>1</v>
      </c>
    </row>
    <row r="20" spans="1:14" x14ac:dyDescent="0.35">
      <c r="A20" s="92"/>
      <c r="B20" s="93"/>
      <c r="C20" s="94"/>
      <c r="D20" s="13">
        <v>0.3</v>
      </c>
      <c r="E20" s="6">
        <f t="shared" si="6"/>
        <v>3</v>
      </c>
      <c r="F20" s="15">
        <v>0.41666666666666669</v>
      </c>
      <c r="G20" s="15">
        <v>0.83333333333333337</v>
      </c>
      <c r="H20" s="16"/>
      <c r="I20" s="16"/>
      <c r="J20" s="12">
        <f t="shared" si="7"/>
        <v>0.41666666666666669</v>
      </c>
      <c r="L20" s="19">
        <v>1</v>
      </c>
      <c r="M20" s="19">
        <v>1</v>
      </c>
      <c r="N20" s="19">
        <v>0</v>
      </c>
    </row>
  </sheetData>
  <mergeCells count="18">
    <mergeCell ref="A3:A5"/>
    <mergeCell ref="B3:B5"/>
    <mergeCell ref="C3:C5"/>
    <mergeCell ref="C6:C8"/>
    <mergeCell ref="A6:A8"/>
    <mergeCell ref="B6:B8"/>
    <mergeCell ref="A9:A11"/>
    <mergeCell ref="B9:B11"/>
    <mergeCell ref="C9:C11"/>
    <mergeCell ref="A12:A14"/>
    <mergeCell ref="B12:B14"/>
    <mergeCell ref="C12:C14"/>
    <mergeCell ref="A15:A17"/>
    <mergeCell ref="B15:B17"/>
    <mergeCell ref="C15:C17"/>
    <mergeCell ref="A18:A20"/>
    <mergeCell ref="B18:B20"/>
    <mergeCell ref="C18:C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/>
  <dimension ref="A1:J26"/>
  <sheetViews>
    <sheetView showGridLines="0" workbookViewId="0">
      <selection activeCell="B12" sqref="B12"/>
    </sheetView>
  </sheetViews>
  <sheetFormatPr baseColWidth="10" defaultColWidth="9.81640625" defaultRowHeight="14.5" x14ac:dyDescent="0.35"/>
  <cols>
    <col min="1" max="1" width="14.1796875" bestFit="1" customWidth="1"/>
    <col min="2" max="2" width="11.1796875" style="18" bestFit="1" customWidth="1"/>
    <col min="3" max="3" width="8.54296875" style="18" bestFit="1" customWidth="1"/>
    <col min="4" max="4" width="15.1796875" style="18" bestFit="1" customWidth="1"/>
    <col min="5" max="6" width="14.81640625" style="18" bestFit="1" customWidth="1"/>
    <col min="7" max="7" width="8.453125" style="18" bestFit="1" customWidth="1"/>
    <col min="8" max="8" width="8.54296875" style="18" bestFit="1" customWidth="1"/>
    <col min="9" max="9" width="9.1796875" style="18" bestFit="1" customWidth="1"/>
    <col min="10" max="10" width="8.453125" style="18" bestFit="1" customWidth="1"/>
  </cols>
  <sheetData>
    <row r="1" spans="1:10" x14ac:dyDescent="0.35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0" x14ac:dyDescent="0.35">
      <c r="A2" t="s">
        <v>21</v>
      </c>
      <c r="B2" s="18">
        <v>24</v>
      </c>
      <c r="C2" s="18">
        <v>33.89</v>
      </c>
      <c r="D2" s="18">
        <v>97</v>
      </c>
      <c r="E2" s="20">
        <f>+D2/B2</f>
        <v>4.041666666666667</v>
      </c>
      <c r="F2" s="20">
        <f>60/E2</f>
        <v>14.845360824742267</v>
      </c>
      <c r="G2" s="18">
        <v>11</v>
      </c>
      <c r="H2" s="18">
        <v>8</v>
      </c>
      <c r="I2" s="18">
        <v>5</v>
      </c>
    </row>
    <row r="3" spans="1:10" x14ac:dyDescent="0.35">
      <c r="A3" t="s">
        <v>5</v>
      </c>
      <c r="B3" s="18">
        <v>24</v>
      </c>
      <c r="C3" s="18">
        <v>43.5</v>
      </c>
      <c r="D3" s="18">
        <v>129</v>
      </c>
      <c r="E3" s="20">
        <f t="shared" ref="E3:E18" si="0">+D3/B3</f>
        <v>5.375</v>
      </c>
      <c r="F3" s="20">
        <f t="shared" ref="F3:F18" si="1">60/E3</f>
        <v>11.162790697674419</v>
      </c>
      <c r="G3" s="18">
        <v>11</v>
      </c>
      <c r="H3" s="18">
        <v>8</v>
      </c>
      <c r="I3" s="18">
        <v>5</v>
      </c>
    </row>
    <row r="4" spans="1:10" x14ac:dyDescent="0.35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</row>
    <row r="5" spans="1:10" x14ac:dyDescent="0.35">
      <c r="A5" t="s">
        <v>40</v>
      </c>
      <c r="B5" s="18">
        <v>14</v>
      </c>
      <c r="C5" s="18">
        <v>29.9</v>
      </c>
      <c r="D5" s="18">
        <v>92</v>
      </c>
      <c r="E5" s="20">
        <f t="shared" si="0"/>
        <v>6.5714285714285712</v>
      </c>
      <c r="F5" s="20">
        <f t="shared" si="1"/>
        <v>9.1304347826086953</v>
      </c>
      <c r="G5" s="18">
        <v>6</v>
      </c>
      <c r="H5" s="18">
        <v>5</v>
      </c>
      <c r="I5" s="18">
        <v>3</v>
      </c>
    </row>
    <row r="6" spans="1:10" x14ac:dyDescent="0.35">
      <c r="A6" t="s">
        <v>41</v>
      </c>
      <c r="B6" s="18">
        <v>14</v>
      </c>
      <c r="C6" s="18">
        <v>35.97</v>
      </c>
      <c r="D6" s="18">
        <v>108</v>
      </c>
      <c r="E6" s="20">
        <f t="shared" si="0"/>
        <v>7.7142857142857144</v>
      </c>
      <c r="F6" s="20">
        <f t="shared" si="1"/>
        <v>7.7777777777777777</v>
      </c>
      <c r="G6" s="18">
        <v>6</v>
      </c>
      <c r="H6" s="18">
        <v>5</v>
      </c>
      <c r="I6" s="18">
        <v>3</v>
      </c>
    </row>
    <row r="7" spans="1:10" x14ac:dyDescent="0.35">
      <c r="A7" t="s">
        <v>16</v>
      </c>
      <c r="B7" s="18">
        <v>10</v>
      </c>
      <c r="C7" s="18">
        <v>21.4</v>
      </c>
      <c r="D7" s="18">
        <v>60</v>
      </c>
      <c r="E7" s="20">
        <f t="shared" si="0"/>
        <v>6</v>
      </c>
      <c r="F7" s="20">
        <f t="shared" si="1"/>
        <v>10</v>
      </c>
      <c r="G7" s="18">
        <v>4</v>
      </c>
      <c r="H7" s="18">
        <v>4</v>
      </c>
      <c r="I7" s="18">
        <v>2</v>
      </c>
    </row>
    <row r="8" spans="1:10" x14ac:dyDescent="0.35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J8" s="18">
        <v>4</v>
      </c>
    </row>
    <row r="9" spans="1:10" x14ac:dyDescent="0.35">
      <c r="A9" t="s">
        <v>17</v>
      </c>
      <c r="B9" s="18">
        <v>11</v>
      </c>
      <c r="C9" s="18">
        <v>24.1</v>
      </c>
      <c r="D9" s="18">
        <v>81</v>
      </c>
      <c r="E9" s="20">
        <f t="shared" si="0"/>
        <v>7.3636363636363633</v>
      </c>
      <c r="F9" s="20">
        <f t="shared" si="1"/>
        <v>8.1481481481481488</v>
      </c>
      <c r="H9" s="18">
        <v>11</v>
      </c>
    </row>
    <row r="10" spans="1:10" x14ac:dyDescent="0.35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2</v>
      </c>
      <c r="H10" s="18">
        <v>1</v>
      </c>
    </row>
    <row r="11" spans="1:10" x14ac:dyDescent="0.35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</row>
    <row r="12" spans="1:10" x14ac:dyDescent="0.35">
      <c r="A12" t="s">
        <v>45</v>
      </c>
      <c r="B12" s="18">
        <v>5</v>
      </c>
      <c r="C12" s="18">
        <v>50.5</v>
      </c>
      <c r="D12" s="18">
        <v>100</v>
      </c>
      <c r="E12" s="20">
        <f t="shared" si="0"/>
        <v>20</v>
      </c>
      <c r="F12" s="20">
        <f t="shared" si="1"/>
        <v>3</v>
      </c>
      <c r="G12" s="18">
        <v>2</v>
      </c>
      <c r="H12" s="18">
        <v>1</v>
      </c>
      <c r="I12" s="18">
        <v>2</v>
      </c>
    </row>
    <row r="13" spans="1:10" x14ac:dyDescent="0.35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H13" s="18">
        <v>1</v>
      </c>
    </row>
    <row r="14" spans="1:10" x14ac:dyDescent="0.35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</row>
    <row r="15" spans="1:10" x14ac:dyDescent="0.35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>
        <v>1</v>
      </c>
    </row>
    <row r="16" spans="1:10" x14ac:dyDescent="0.35">
      <c r="A16" t="s">
        <v>12</v>
      </c>
      <c r="B16" s="18">
        <v>1</v>
      </c>
      <c r="C16" s="18">
        <v>48.3</v>
      </c>
      <c r="D16" s="18">
        <v>140</v>
      </c>
      <c r="E16" s="20">
        <f t="shared" si="0"/>
        <v>140</v>
      </c>
      <c r="F16" s="20">
        <f t="shared" si="1"/>
        <v>0.42857142857142855</v>
      </c>
      <c r="G16" s="18">
        <v>1</v>
      </c>
    </row>
    <row r="17" spans="1:8" x14ac:dyDescent="0.35">
      <c r="A17" t="s">
        <v>47</v>
      </c>
      <c r="B17" s="18">
        <v>1</v>
      </c>
      <c r="C17" s="18">
        <v>31.83</v>
      </c>
      <c r="D17" s="18">
        <v>86</v>
      </c>
      <c r="E17" s="20">
        <f t="shared" si="0"/>
        <v>86</v>
      </c>
      <c r="F17" s="20">
        <f t="shared" si="1"/>
        <v>0.69767441860465118</v>
      </c>
      <c r="H17" s="18">
        <v>1</v>
      </c>
    </row>
    <row r="18" spans="1:8" x14ac:dyDescent="0.35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</row>
    <row r="20" spans="1:8" x14ac:dyDescent="0.35">
      <c r="A20" s="21" t="s">
        <v>60</v>
      </c>
    </row>
    <row r="21" spans="1:8" x14ac:dyDescent="0.35">
      <c r="A21" s="21" t="s">
        <v>56</v>
      </c>
    </row>
    <row r="22" spans="1:8" x14ac:dyDescent="0.35">
      <c r="A22" s="21" t="s">
        <v>61</v>
      </c>
    </row>
    <row r="23" spans="1:8" x14ac:dyDescent="0.35">
      <c r="A23" s="21" t="s">
        <v>50</v>
      </c>
    </row>
    <row r="24" spans="1:8" x14ac:dyDescent="0.35">
      <c r="A24" s="21" t="s">
        <v>51</v>
      </c>
    </row>
    <row r="25" spans="1:8" x14ac:dyDescent="0.35">
      <c r="A25" s="21" t="s">
        <v>52</v>
      </c>
    </row>
    <row r="26" spans="1:8" x14ac:dyDescent="0.35">
      <c r="A26" s="21" t="s">
        <v>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/>
  <dimension ref="A1:M26"/>
  <sheetViews>
    <sheetView showGridLines="0" workbookViewId="0">
      <selection activeCell="I2" sqref="I2"/>
    </sheetView>
  </sheetViews>
  <sheetFormatPr baseColWidth="10" defaultColWidth="11.453125" defaultRowHeight="14.5" x14ac:dyDescent="0.35"/>
  <cols>
    <col min="3" max="3" width="8.54296875" bestFit="1" customWidth="1"/>
    <col min="4" max="4" width="15.1796875" bestFit="1" customWidth="1"/>
    <col min="5" max="6" width="14.81640625" bestFit="1" customWidth="1"/>
    <col min="7" max="7" width="8.453125" bestFit="1" customWidth="1"/>
    <col min="8" max="8" width="8.54296875" bestFit="1" customWidth="1"/>
    <col min="9" max="9" width="9.1796875" bestFit="1" customWidth="1"/>
    <col min="10" max="10" width="8.453125" bestFit="1" customWidth="1"/>
    <col min="13" max="13" width="12.54296875" bestFit="1" customWidth="1"/>
  </cols>
  <sheetData>
    <row r="1" spans="1:13" x14ac:dyDescent="0.35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3" x14ac:dyDescent="0.35">
      <c r="A2" t="s">
        <v>21</v>
      </c>
      <c r="B2" s="18">
        <v>24</v>
      </c>
      <c r="C2" s="18">
        <v>33.89</v>
      </c>
      <c r="D2" s="18">
        <v>97</v>
      </c>
      <c r="E2" s="20">
        <f t="shared" ref="E2:E18" si="0">IFERROR(D2/B2,0)</f>
        <v>4.041666666666667</v>
      </c>
      <c r="F2" s="20">
        <f t="shared" ref="F2:F18" si="1">IFERROR((60/E2),0)</f>
        <v>14.845360824742267</v>
      </c>
      <c r="G2" s="18">
        <v>11</v>
      </c>
      <c r="H2" s="18">
        <v>8</v>
      </c>
      <c r="I2" s="18">
        <v>5</v>
      </c>
      <c r="J2" s="18"/>
    </row>
    <row r="3" spans="1:13" x14ac:dyDescent="0.35">
      <c r="A3" t="s">
        <v>5</v>
      </c>
      <c r="B3" s="18">
        <v>24</v>
      </c>
      <c r="C3" s="18">
        <v>43.5</v>
      </c>
      <c r="D3" s="18">
        <v>129</v>
      </c>
      <c r="E3" s="20">
        <f t="shared" si="0"/>
        <v>5.375</v>
      </c>
      <c r="F3" s="20">
        <f t="shared" si="1"/>
        <v>11.162790697674419</v>
      </c>
      <c r="G3" s="18">
        <v>11</v>
      </c>
      <c r="H3" s="18">
        <v>8</v>
      </c>
      <c r="I3" s="18">
        <v>5</v>
      </c>
      <c r="J3" s="18"/>
    </row>
    <row r="4" spans="1:13" x14ac:dyDescent="0.35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  <c r="J4" s="18"/>
    </row>
    <row r="5" spans="1:13" x14ac:dyDescent="0.35">
      <c r="A5" t="s">
        <v>40</v>
      </c>
      <c r="B5" s="18">
        <v>16</v>
      </c>
      <c r="C5" s="18">
        <v>29.9</v>
      </c>
      <c r="D5" s="18">
        <v>92</v>
      </c>
      <c r="E5" s="20">
        <f t="shared" si="0"/>
        <v>5.75</v>
      </c>
      <c r="F5" s="20">
        <f t="shared" si="1"/>
        <v>10.434782608695652</v>
      </c>
      <c r="G5" s="18">
        <v>7</v>
      </c>
      <c r="H5" s="18">
        <v>6</v>
      </c>
      <c r="I5" s="18">
        <v>3</v>
      </c>
      <c r="J5" s="18"/>
    </row>
    <row r="6" spans="1:13" x14ac:dyDescent="0.35">
      <c r="A6" t="s">
        <v>41</v>
      </c>
      <c r="B6" s="18">
        <v>12</v>
      </c>
      <c r="C6" s="18">
        <v>35.97</v>
      </c>
      <c r="D6" s="18">
        <v>108</v>
      </c>
      <c r="E6" s="20">
        <f t="shared" si="0"/>
        <v>9</v>
      </c>
      <c r="F6" s="20">
        <f t="shared" si="1"/>
        <v>6.666666666666667</v>
      </c>
      <c r="G6" s="18">
        <v>5</v>
      </c>
      <c r="H6" s="18">
        <v>4</v>
      </c>
      <c r="I6" s="18">
        <v>3</v>
      </c>
      <c r="J6" s="18"/>
    </row>
    <row r="7" spans="1:13" x14ac:dyDescent="0.35">
      <c r="A7" t="s">
        <v>16</v>
      </c>
      <c r="B7" s="18">
        <v>13</v>
      </c>
      <c r="C7" s="18">
        <v>21.4</v>
      </c>
      <c r="D7" s="18">
        <v>60</v>
      </c>
      <c r="E7" s="20">
        <f t="shared" si="0"/>
        <v>4.615384615384615</v>
      </c>
      <c r="F7" s="20">
        <f t="shared" si="1"/>
        <v>13.000000000000002</v>
      </c>
      <c r="G7" s="18">
        <v>5</v>
      </c>
      <c r="H7" s="18">
        <v>5</v>
      </c>
      <c r="I7" s="18">
        <v>3</v>
      </c>
      <c r="J7" s="18"/>
    </row>
    <row r="8" spans="1:13" x14ac:dyDescent="0.35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I8" s="18"/>
      <c r="J8" s="18">
        <v>4</v>
      </c>
    </row>
    <row r="9" spans="1:13" x14ac:dyDescent="0.35">
      <c r="A9" t="s">
        <v>17</v>
      </c>
      <c r="B9" s="18">
        <v>12</v>
      </c>
      <c r="C9" s="18">
        <v>24.1</v>
      </c>
      <c r="D9" s="18">
        <v>81</v>
      </c>
      <c r="E9" s="20">
        <f t="shared" si="0"/>
        <v>6.75</v>
      </c>
      <c r="F9" s="20">
        <f t="shared" si="1"/>
        <v>8.8888888888888893</v>
      </c>
      <c r="G9" s="18"/>
      <c r="H9" s="18">
        <v>11</v>
      </c>
      <c r="I9" s="18"/>
      <c r="J9" s="18"/>
    </row>
    <row r="10" spans="1:13" x14ac:dyDescent="0.35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1</v>
      </c>
      <c r="H10" s="18">
        <v>2</v>
      </c>
      <c r="I10" s="18"/>
      <c r="J10" s="18"/>
    </row>
    <row r="11" spans="1:13" x14ac:dyDescent="0.35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  <c r="J11" s="18"/>
    </row>
    <row r="12" spans="1:13" x14ac:dyDescent="0.35">
      <c r="A12" t="s">
        <v>45</v>
      </c>
      <c r="B12" s="18">
        <v>3</v>
      </c>
      <c r="C12" s="18">
        <v>50.5</v>
      </c>
      <c r="D12" s="18">
        <v>100</v>
      </c>
      <c r="E12" s="20">
        <f t="shared" si="0"/>
        <v>33.333333333333336</v>
      </c>
      <c r="F12" s="20">
        <f t="shared" si="1"/>
        <v>1.7999999999999998</v>
      </c>
      <c r="G12" s="18">
        <v>1</v>
      </c>
      <c r="H12" s="18">
        <v>1</v>
      </c>
      <c r="I12" s="18">
        <v>1</v>
      </c>
      <c r="J12" s="18"/>
    </row>
    <row r="13" spans="1:13" x14ac:dyDescent="0.35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G13" s="18"/>
      <c r="H13" s="18">
        <v>1</v>
      </c>
      <c r="I13" s="18"/>
      <c r="J13" s="18"/>
    </row>
    <row r="14" spans="1:13" x14ac:dyDescent="0.35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  <c r="H14" s="18"/>
      <c r="I14" s="18"/>
      <c r="J14" s="18"/>
      <c r="M14" s="46"/>
    </row>
    <row r="15" spans="1:13" x14ac:dyDescent="0.35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/>
      <c r="H15" s="18"/>
      <c r="I15" s="18">
        <v>1</v>
      </c>
      <c r="J15" s="18"/>
      <c r="M15" s="46"/>
    </row>
    <row r="16" spans="1:13" x14ac:dyDescent="0.35">
      <c r="A16" t="s">
        <v>12</v>
      </c>
      <c r="B16" s="18">
        <v>0</v>
      </c>
      <c r="C16" s="18">
        <v>48.3</v>
      </c>
      <c r="D16" s="18">
        <v>140</v>
      </c>
      <c r="E16" s="20">
        <f t="shared" si="0"/>
        <v>0</v>
      </c>
      <c r="F16" s="20">
        <f t="shared" si="1"/>
        <v>0</v>
      </c>
      <c r="G16" s="18"/>
      <c r="H16" s="18"/>
      <c r="I16" s="18"/>
      <c r="J16" s="18"/>
      <c r="M16" s="46"/>
    </row>
    <row r="17" spans="1:10" x14ac:dyDescent="0.35">
      <c r="A17" t="s">
        <v>47</v>
      </c>
      <c r="B17" s="18">
        <v>2</v>
      </c>
      <c r="C17" s="18">
        <v>31.83</v>
      </c>
      <c r="D17" s="18">
        <v>86</v>
      </c>
      <c r="E17" s="20">
        <f t="shared" si="0"/>
        <v>43</v>
      </c>
      <c r="F17" s="20">
        <f t="shared" si="1"/>
        <v>1.3953488372093024</v>
      </c>
      <c r="G17" s="18"/>
      <c r="H17" s="18">
        <v>2</v>
      </c>
      <c r="I17" s="18"/>
      <c r="J17" s="18"/>
    </row>
    <row r="18" spans="1:10" x14ac:dyDescent="0.35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  <c r="I18" s="18"/>
      <c r="J18" s="18"/>
    </row>
    <row r="20" spans="1:10" x14ac:dyDescent="0.35">
      <c r="A20" s="21" t="s">
        <v>60</v>
      </c>
    </row>
    <row r="21" spans="1:10" x14ac:dyDescent="0.35">
      <c r="A21" s="21" t="s">
        <v>56</v>
      </c>
    </row>
    <row r="22" spans="1:10" x14ac:dyDescent="0.35">
      <c r="A22" s="21" t="s">
        <v>57</v>
      </c>
    </row>
    <row r="23" spans="1:10" x14ac:dyDescent="0.35">
      <c r="A23" s="21" t="s">
        <v>50</v>
      </c>
    </row>
    <row r="24" spans="1:10" x14ac:dyDescent="0.35">
      <c r="A24" s="21" t="s">
        <v>51</v>
      </c>
    </row>
    <row r="25" spans="1:10" x14ac:dyDescent="0.35">
      <c r="A25" s="21" t="s">
        <v>52</v>
      </c>
    </row>
    <row r="26" spans="1:10" x14ac:dyDescent="0.35">
      <c r="A26" s="21" t="s">
        <v>53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3949-8CB9-4057-9D5D-E7D0AC4C767A}">
  <dimension ref="A1:K27"/>
  <sheetViews>
    <sheetView showGridLines="0" workbookViewId="0">
      <selection activeCell="D1" sqref="D1"/>
    </sheetView>
  </sheetViews>
  <sheetFormatPr baseColWidth="10" defaultColWidth="18.54296875" defaultRowHeight="14.5" x14ac:dyDescent="0.35"/>
  <cols>
    <col min="1" max="1" width="15" bestFit="1" customWidth="1"/>
    <col min="2" max="2" width="16" bestFit="1" customWidth="1"/>
    <col min="3" max="3" width="14.453125" style="18" bestFit="1" customWidth="1"/>
    <col min="4" max="4" width="14.81640625" bestFit="1" customWidth="1"/>
    <col min="5" max="5" width="12.08984375" style="18" bestFit="1" customWidth="1"/>
    <col min="6" max="6" width="8.36328125" style="18" bestFit="1" customWidth="1"/>
    <col min="7" max="7" width="11.81640625" style="18" bestFit="1" customWidth="1"/>
    <col min="8" max="8" width="9.90625" style="18" bestFit="1" customWidth="1"/>
    <col min="9" max="9" width="3.54296875" customWidth="1"/>
    <col min="10" max="10" width="3.54296875" style="18" customWidth="1"/>
    <col min="11" max="11" width="8.81640625" customWidth="1"/>
  </cols>
  <sheetData>
    <row r="1" spans="1:11" x14ac:dyDescent="0.35">
      <c r="A1" s="82" t="s">
        <v>130</v>
      </c>
      <c r="B1" s="82" t="s">
        <v>131</v>
      </c>
      <c r="C1" s="82" t="s">
        <v>132</v>
      </c>
      <c r="D1" s="82" t="s">
        <v>133</v>
      </c>
      <c r="E1" s="82" t="s">
        <v>134</v>
      </c>
      <c r="F1" s="82" t="s">
        <v>59</v>
      </c>
      <c r="G1" s="83" t="s">
        <v>135</v>
      </c>
      <c r="H1" s="82" t="s">
        <v>136</v>
      </c>
      <c r="I1" s="18"/>
    </row>
    <row r="2" spans="1:11" x14ac:dyDescent="0.35">
      <c r="A2" s="18" t="str">
        <f>CONCATENATE(Tabla6[[#This Row],[ArretDebut]],Tabla6[[#This Row],[ArretFin]])</f>
        <v>PatioG_iniPatioG</v>
      </c>
      <c r="B2" s="18" t="s">
        <v>137</v>
      </c>
      <c r="C2" s="18" t="s">
        <v>138</v>
      </c>
      <c r="D2" s="18" t="s">
        <v>139</v>
      </c>
      <c r="E2" s="18" t="s">
        <v>87</v>
      </c>
      <c r="F2" s="18">
        <v>0</v>
      </c>
      <c r="G2" s="84">
        <v>6.9444444444444441E-3</v>
      </c>
      <c r="H2" s="18" t="s">
        <v>140</v>
      </c>
      <c r="I2" s="18"/>
    </row>
    <row r="3" spans="1:11" x14ac:dyDescent="0.35">
      <c r="A3" s="18" t="str">
        <f>CONCATENATE(Tabla6[[#This Row],[ArretDebut]],Tabla6[[#This Row],[ArretFin]])</f>
        <v>PatioGPatioG_fin</v>
      </c>
      <c r="B3" s="18" t="s">
        <v>137</v>
      </c>
      <c r="C3" s="18" t="s">
        <v>141</v>
      </c>
      <c r="D3" s="18" t="s">
        <v>87</v>
      </c>
      <c r="E3" s="18" t="s">
        <v>142</v>
      </c>
      <c r="F3" s="18">
        <v>0</v>
      </c>
      <c r="G3" s="84">
        <v>6.9444444444444441E-3</v>
      </c>
      <c r="H3" s="18" t="s">
        <v>140</v>
      </c>
      <c r="I3" s="18"/>
    </row>
    <row r="4" spans="1:11" x14ac:dyDescent="0.35">
      <c r="A4" s="85" t="str">
        <f>CONCATENATE(Tabla6[[#This Row],[ArretDebut]],Tabla6[[#This Row],[ArretFin]])</f>
        <v>PatioGPoblad</v>
      </c>
      <c r="B4" s="85" t="s">
        <v>137</v>
      </c>
      <c r="C4" s="86" t="s">
        <v>143</v>
      </c>
      <c r="D4" s="85" t="s">
        <v>87</v>
      </c>
      <c r="E4" s="85" t="s">
        <v>144</v>
      </c>
      <c r="F4" s="85">
        <v>11930</v>
      </c>
      <c r="G4" s="84">
        <v>1.917824074074076E-2</v>
      </c>
      <c r="H4" s="18" t="s">
        <v>140</v>
      </c>
      <c r="I4" s="18"/>
    </row>
    <row r="5" spans="1:11" x14ac:dyDescent="0.35">
      <c r="A5" s="85" t="str">
        <f>CONCATENATE(Tabla6[[#This Row],[ArretDebut]],Tabla6[[#This Row],[ArretFin]])</f>
        <v>PatioGUPB</v>
      </c>
      <c r="B5" s="85" t="s">
        <v>137</v>
      </c>
      <c r="C5" s="18" t="s">
        <v>143</v>
      </c>
      <c r="D5" s="85" t="s">
        <v>87</v>
      </c>
      <c r="E5" s="87" t="s">
        <v>145</v>
      </c>
      <c r="F5" s="85">
        <v>2000</v>
      </c>
      <c r="G5" s="84">
        <v>3.4722222222222654E-3</v>
      </c>
      <c r="H5" s="18" t="s">
        <v>140</v>
      </c>
      <c r="I5" s="18"/>
      <c r="J5" s="88"/>
    </row>
    <row r="6" spans="1:11" x14ac:dyDescent="0.35">
      <c r="A6" s="85" t="str">
        <f>CONCATENATE(Tabla6[[#This Row],[ArretDebut]],Tabla6[[#This Row],[ArretFin]])</f>
        <v>PobladPatioG</v>
      </c>
      <c r="B6" s="85" t="s">
        <v>137</v>
      </c>
      <c r="C6" s="87" t="s">
        <v>143</v>
      </c>
      <c r="D6" s="87" t="s">
        <v>144</v>
      </c>
      <c r="E6" s="87" t="s">
        <v>87</v>
      </c>
      <c r="F6" s="87">
        <v>13383</v>
      </c>
      <c r="G6" s="84">
        <v>1.9189814814814854E-2</v>
      </c>
      <c r="H6" s="18" t="s">
        <v>140</v>
      </c>
    </row>
    <row r="7" spans="1:11" x14ac:dyDescent="0.35">
      <c r="A7" s="18" t="str">
        <f>CONCATENATE(Tabla6[[#This Row],[ArretDebut]],Tabla6[[#This Row],[ArretFin]])</f>
        <v>UPBPatioG</v>
      </c>
      <c r="B7" s="87" t="s">
        <v>137</v>
      </c>
      <c r="C7" s="87" t="s">
        <v>143</v>
      </c>
      <c r="D7" s="87" t="s">
        <v>145</v>
      </c>
      <c r="E7" s="87" t="s">
        <v>87</v>
      </c>
      <c r="F7" s="87">
        <v>3490</v>
      </c>
      <c r="G7" s="84">
        <v>3.6342592592593093E-3</v>
      </c>
      <c r="H7" s="18" t="s">
        <v>140</v>
      </c>
      <c r="J7" s="88"/>
    </row>
    <row r="8" spans="1:11" x14ac:dyDescent="0.35">
      <c r="A8" s="18" t="str">
        <f>CONCATENATE(Tabla6[[#This Row],[ArretDebut]],Tabla6[[#This Row],[ArretFin]])</f>
        <v>UPB41K4</v>
      </c>
      <c r="B8" s="18" t="s">
        <v>140</v>
      </c>
      <c r="C8" s="87" t="s">
        <v>109</v>
      </c>
      <c r="D8" s="87" t="s">
        <v>145</v>
      </c>
      <c r="E8" s="87" t="s">
        <v>146</v>
      </c>
      <c r="F8" s="87">
        <v>5807</v>
      </c>
      <c r="G8" s="90">
        <v>1.0416666666666666E-2</v>
      </c>
      <c r="H8" s="18" t="s">
        <v>140</v>
      </c>
      <c r="J8" s="88"/>
    </row>
    <row r="9" spans="1:11" x14ac:dyDescent="0.35">
      <c r="A9" s="18" t="str">
        <f>CONCATENATE(Tabla6[[#This Row],[ArretDebut]],Tabla6[[#This Row],[ArretFin]])</f>
        <v>41K4CaiRvr</v>
      </c>
      <c r="B9" s="18" t="s">
        <v>140</v>
      </c>
      <c r="C9" s="87" t="s">
        <v>109</v>
      </c>
      <c r="D9" s="87" t="s">
        <v>146</v>
      </c>
      <c r="E9" s="87" t="s">
        <v>147</v>
      </c>
      <c r="F9" s="87">
        <v>2343</v>
      </c>
      <c r="G9" s="90">
        <v>6.9444444444444441E-3</v>
      </c>
      <c r="H9" s="18" t="s">
        <v>140</v>
      </c>
      <c r="J9" s="89"/>
      <c r="K9" s="89"/>
    </row>
    <row r="10" spans="1:11" x14ac:dyDescent="0.35">
      <c r="A10" s="18" t="str">
        <f>CONCATENATE(Tabla6[[#This Row],[ArretDebut]],Tabla6[[#This Row],[ArretFin]])</f>
        <v>CaiRvrApuest</v>
      </c>
      <c r="B10" s="18" t="s">
        <v>140</v>
      </c>
      <c r="C10" s="87" t="s">
        <v>109</v>
      </c>
      <c r="D10" s="87" t="s">
        <v>147</v>
      </c>
      <c r="E10" s="87" t="s">
        <v>148</v>
      </c>
      <c r="F10" s="87">
        <v>1020</v>
      </c>
      <c r="G10" s="90">
        <v>3.472222222222222E-3</v>
      </c>
      <c r="H10" s="18" t="s">
        <v>140</v>
      </c>
      <c r="J10" s="23"/>
      <c r="K10" s="23"/>
    </row>
    <row r="11" spans="1:11" x14ac:dyDescent="0.35">
      <c r="A11" s="18" t="str">
        <f>CONCATENATE(Tabla6[[#This Row],[ArretDebut]],Tabla6[[#This Row],[ArretFin]])</f>
        <v>ApuestPoblad</v>
      </c>
      <c r="B11" s="18" t="s">
        <v>140</v>
      </c>
      <c r="C11" s="87" t="s">
        <v>109</v>
      </c>
      <c r="D11" s="85" t="s">
        <v>148</v>
      </c>
      <c r="E11" s="87" t="s">
        <v>144</v>
      </c>
      <c r="F11" s="85">
        <v>1500</v>
      </c>
      <c r="G11" s="84">
        <v>3.4722222222223209E-3</v>
      </c>
      <c r="H11" s="18" t="s">
        <v>140</v>
      </c>
      <c r="J11" s="23"/>
      <c r="K11" s="23"/>
    </row>
    <row r="12" spans="1:11" x14ac:dyDescent="0.35">
      <c r="A12" s="18" t="str">
        <f>CONCATENATE(Tabla6[[#This Row],[ArretDebut]],Tabla6[[#This Row],[ArretFin]])</f>
        <v>PobladApuest</v>
      </c>
      <c r="B12" s="18" t="s">
        <v>140</v>
      </c>
      <c r="C12" s="87" t="s">
        <v>108</v>
      </c>
      <c r="D12" s="85" t="s">
        <v>144</v>
      </c>
      <c r="E12" s="85" t="s">
        <v>148</v>
      </c>
      <c r="F12" s="85">
        <v>1060</v>
      </c>
      <c r="G12" s="84">
        <v>3.4722222222222376E-3</v>
      </c>
      <c r="H12" s="18" t="s">
        <v>140</v>
      </c>
      <c r="J12" s="23"/>
      <c r="K12" s="23"/>
    </row>
    <row r="13" spans="1:11" x14ac:dyDescent="0.35">
      <c r="A13" s="18" t="str">
        <f>CONCATENATE(Tabla6[[#This Row],[ArretDebut]],Tabla6[[#This Row],[ArretFin]])</f>
        <v>ApuestCaiRvr</v>
      </c>
      <c r="B13" s="18" t="s">
        <v>140</v>
      </c>
      <c r="C13" s="87" t="s">
        <v>108</v>
      </c>
      <c r="D13" s="87" t="s">
        <v>148</v>
      </c>
      <c r="E13" s="87" t="s">
        <v>147</v>
      </c>
      <c r="F13" s="87">
        <v>960</v>
      </c>
      <c r="G13" s="90">
        <v>3.472222222222222E-3</v>
      </c>
      <c r="H13" s="18" t="s">
        <v>140</v>
      </c>
    </row>
    <row r="14" spans="1:11" x14ac:dyDescent="0.35">
      <c r="A14" s="18" t="str">
        <f>CONCATENATE(Tabla6[[#This Row],[ArretDebut]],Tabla6[[#This Row],[ArretFin]])</f>
        <v>CaiRvr41K4</v>
      </c>
      <c r="B14" s="18" t="s">
        <v>140</v>
      </c>
      <c r="C14" s="87" t="s">
        <v>108</v>
      </c>
      <c r="D14" s="87" t="s">
        <v>147</v>
      </c>
      <c r="E14" s="87" t="s">
        <v>146</v>
      </c>
      <c r="F14" s="85">
        <v>2553</v>
      </c>
      <c r="G14" s="90">
        <v>6.9444444444444441E-3</v>
      </c>
      <c r="H14" s="18" t="s">
        <v>140</v>
      </c>
    </row>
    <row r="15" spans="1:11" x14ac:dyDescent="0.35">
      <c r="A15" s="18" t="str">
        <f>CONCATENATE(Tabla6[[#This Row],[ArretDebut]],Tabla6[[#This Row],[ArretFin]])</f>
        <v>41K4UPB</v>
      </c>
      <c r="B15" s="18" t="s">
        <v>140</v>
      </c>
      <c r="C15" s="87" t="s">
        <v>108</v>
      </c>
      <c r="D15" s="87" t="s">
        <v>146</v>
      </c>
      <c r="E15" s="87" t="s">
        <v>145</v>
      </c>
      <c r="F15" s="87">
        <v>6205</v>
      </c>
      <c r="G15" s="90">
        <v>1.0416666666666666E-2</v>
      </c>
      <c r="H15" s="18" t="s">
        <v>140</v>
      </c>
    </row>
    <row r="16" spans="1:11" x14ac:dyDescent="0.35">
      <c r="A16" s="18" t="str">
        <f>CONCATENATE(Tabla6[[#This Row],[ArretDebut]],Tabla6[[#This Row],[ArretFin]])</f>
        <v>UPBUPB_Rel</v>
      </c>
      <c r="B16" s="18" t="s">
        <v>137</v>
      </c>
      <c r="C16" s="18" t="s">
        <v>149</v>
      </c>
      <c r="D16" s="18" t="s">
        <v>145</v>
      </c>
      <c r="E16" s="18" t="s">
        <v>150</v>
      </c>
      <c r="F16" s="18">
        <v>0</v>
      </c>
      <c r="G16" s="84">
        <v>3.472222222222222E-3</v>
      </c>
      <c r="H16" s="18" t="s">
        <v>140</v>
      </c>
    </row>
    <row r="17" spans="1:8" x14ac:dyDescent="0.35">
      <c r="A17" s="18" t="str">
        <f>CONCATENATE(Tabla6[[#This Row],[ArretDebut]],Tabla6[[#This Row],[ArretFin]])</f>
        <v>UPB_RelUPB</v>
      </c>
      <c r="B17" s="18" t="s">
        <v>137</v>
      </c>
      <c r="C17" s="18" t="s">
        <v>151</v>
      </c>
      <c r="D17" s="18" t="s">
        <v>150</v>
      </c>
      <c r="E17" s="18" t="s">
        <v>145</v>
      </c>
      <c r="F17" s="18">
        <v>0</v>
      </c>
      <c r="G17" s="84">
        <v>3.472222222222222E-3</v>
      </c>
      <c r="H17" s="18" t="s">
        <v>140</v>
      </c>
    </row>
    <row r="18" spans="1:8" x14ac:dyDescent="0.35">
      <c r="A18" s="18" t="str">
        <f>CONCATENATE(Tabla6[[#This Row],[ArretDebut]],Tabla6[[#This Row],[ArretFin]])</f>
        <v>PobladUPB1</v>
      </c>
      <c r="B18" s="18" t="s">
        <v>137</v>
      </c>
      <c r="C18" s="18" t="s">
        <v>152</v>
      </c>
      <c r="D18" s="18" t="s">
        <v>144</v>
      </c>
      <c r="E18" s="18" t="s">
        <v>153</v>
      </c>
      <c r="F18" s="18">
        <v>10778</v>
      </c>
      <c r="G18" s="84">
        <v>1.3888888888888888E-2</v>
      </c>
      <c r="H18" s="18" t="s">
        <v>140</v>
      </c>
    </row>
    <row r="19" spans="1:8" x14ac:dyDescent="0.35">
      <c r="A19" s="18" t="str">
        <f>CONCATENATE(Tabla6[[#This Row],[ArretDebut]],Tabla6[[#This Row],[ArretFin]])</f>
        <v>UPB1UPB</v>
      </c>
      <c r="B19" s="18" t="s">
        <v>137</v>
      </c>
      <c r="C19" s="18" t="s">
        <v>143</v>
      </c>
      <c r="D19" s="18" t="s">
        <v>153</v>
      </c>
      <c r="E19" s="18" t="s">
        <v>145</v>
      </c>
      <c r="F19" s="18">
        <v>0</v>
      </c>
      <c r="G19" s="84">
        <v>0</v>
      </c>
      <c r="H19" s="18" t="s">
        <v>140</v>
      </c>
    </row>
    <row r="20" spans="1:8" x14ac:dyDescent="0.35">
      <c r="A20" s="18" t="str">
        <f>CONCATENATE(Tabla6[[#This Row],[ArretDebut]],Tabla6[[#This Row],[ArretFin]])</f>
        <v>UPBUPB1</v>
      </c>
      <c r="B20" s="18" t="s">
        <v>137</v>
      </c>
      <c r="C20" s="18" t="s">
        <v>143</v>
      </c>
      <c r="D20" s="18" t="s">
        <v>145</v>
      </c>
      <c r="E20" s="18" t="s">
        <v>153</v>
      </c>
      <c r="F20" s="18">
        <v>0</v>
      </c>
      <c r="G20" s="84">
        <v>0</v>
      </c>
      <c r="H20" s="18" t="s">
        <v>140</v>
      </c>
    </row>
    <row r="21" spans="1:8" x14ac:dyDescent="0.35">
      <c r="A21" s="18" t="str">
        <f>CONCATENATE(Tabla6[[#This Row],[ArretDebut]],Tabla6[[#This Row],[ArretFin]])</f>
        <v>UPBPoblad</v>
      </c>
      <c r="B21" s="18" t="s">
        <v>137</v>
      </c>
      <c r="C21" s="18" t="s">
        <v>143</v>
      </c>
      <c r="D21" s="18" t="s">
        <v>145</v>
      </c>
      <c r="E21" s="18" t="s">
        <v>144</v>
      </c>
      <c r="F21" s="85">
        <v>11930</v>
      </c>
      <c r="G21" s="84">
        <v>1.3888888888888888E-2</v>
      </c>
      <c r="H21" s="18" t="s">
        <v>140</v>
      </c>
    </row>
    <row r="22" spans="1:8" x14ac:dyDescent="0.35">
      <c r="A22" s="18" t="str">
        <f>CONCATENATE(Tabla6[[#This Row],[ArretDebut]],Tabla6[[#This Row],[ArretFin]])</f>
        <v>UPBUPB</v>
      </c>
      <c r="B22" s="18" t="s">
        <v>137</v>
      </c>
      <c r="C22" s="18" t="s">
        <v>143</v>
      </c>
      <c r="D22" s="18" t="s">
        <v>145</v>
      </c>
      <c r="E22" s="18" t="s">
        <v>145</v>
      </c>
      <c r="F22" s="18">
        <v>0</v>
      </c>
      <c r="G22" s="84">
        <v>0</v>
      </c>
      <c r="H22" s="18" t="s">
        <v>140</v>
      </c>
    </row>
    <row r="23" spans="1:8" x14ac:dyDescent="0.35">
      <c r="A23" s="18" t="str">
        <f>CONCATENATE(Tabla6[[#This Row],[ArretDebut]],Tabla6[[#This Row],[ArretFin]])</f>
        <v>PatioGTanqueo</v>
      </c>
      <c r="B23" s="18" t="s">
        <v>137</v>
      </c>
      <c r="C23" s="18" t="s">
        <v>143</v>
      </c>
      <c r="D23" s="91" t="s">
        <v>87</v>
      </c>
      <c r="E23" s="18" t="s">
        <v>154</v>
      </c>
      <c r="F23" s="18">
        <v>0</v>
      </c>
      <c r="G23" s="84">
        <v>4.8611111111111112E-3</v>
      </c>
      <c r="H23" s="18" t="s">
        <v>140</v>
      </c>
    </row>
    <row r="24" spans="1:8" x14ac:dyDescent="0.35">
      <c r="A24" s="18" t="str">
        <f>CONCATENATE(Tabla6[[#This Row],[ArretDebut]],Tabla6[[#This Row],[ArretFin]])</f>
        <v>TanqueoUPB</v>
      </c>
      <c r="B24" s="18" t="s">
        <v>137</v>
      </c>
      <c r="C24" s="18" t="s">
        <v>143</v>
      </c>
      <c r="D24" s="91" t="s">
        <v>154</v>
      </c>
      <c r="E24" s="18" t="s">
        <v>145</v>
      </c>
      <c r="F24" s="18">
        <v>3490</v>
      </c>
      <c r="G24" s="84">
        <v>4.1666666666666666E-3</v>
      </c>
      <c r="H24" s="18" t="s">
        <v>140</v>
      </c>
    </row>
    <row r="25" spans="1:8" x14ac:dyDescent="0.35">
      <c r="A25" s="18" t="str">
        <f>CONCATENATE(Tabla6[[#This Row],[ArretDebut]],Tabla6[[#This Row],[ArretFin]])</f>
        <v>UPBCambioL</v>
      </c>
      <c r="B25" s="18" t="s">
        <v>140</v>
      </c>
      <c r="C25" s="18" t="s">
        <v>155</v>
      </c>
      <c r="D25" s="91" t="s">
        <v>145</v>
      </c>
      <c r="E25" s="18" t="s">
        <v>156</v>
      </c>
      <c r="F25" s="18">
        <v>15000</v>
      </c>
      <c r="G25" s="84">
        <v>4.1666666666666664E-2</v>
      </c>
      <c r="H25" s="18" t="s">
        <v>140</v>
      </c>
    </row>
    <row r="26" spans="1:8" x14ac:dyDescent="0.35">
      <c r="A26" s="18" t="str">
        <f>CONCATENATE(Tabla6[[#This Row],[ArretDebut]],Tabla6[[#This Row],[ArretFin]])</f>
        <v>CambioLUPB</v>
      </c>
      <c r="B26" s="18" t="s">
        <v>140</v>
      </c>
      <c r="C26" s="18" t="s">
        <v>155</v>
      </c>
      <c r="D26" s="91" t="s">
        <v>156</v>
      </c>
      <c r="E26" s="18" t="s">
        <v>145</v>
      </c>
      <c r="F26" s="18">
        <v>15000</v>
      </c>
      <c r="G26" s="84">
        <v>4.1666666666666664E-2</v>
      </c>
      <c r="H26" s="18" t="s">
        <v>140</v>
      </c>
    </row>
    <row r="27" spans="1:8" x14ac:dyDescent="0.35">
      <c r="A27" s="18" t="str">
        <f>CONCATENATE(Tabla6[[#This Row],[ArretDebut]],Tabla6[[#This Row],[ArretFin]])</f>
        <v>UPBPatioG</v>
      </c>
      <c r="B27" s="18" t="s">
        <v>137</v>
      </c>
      <c r="C27" s="18" t="s">
        <v>143</v>
      </c>
      <c r="D27" s="91" t="s">
        <v>145</v>
      </c>
      <c r="E27" s="18" t="s">
        <v>87</v>
      </c>
      <c r="F27" s="18">
        <v>3490</v>
      </c>
      <c r="G27" s="84">
        <v>4.1666666666666666E-3</v>
      </c>
      <c r="H27" s="18" t="s">
        <v>140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5C45-C561-496B-A79F-91B02ACB63C1}">
  <sheetPr codeName="Hoja5"/>
  <dimension ref="A1:M97"/>
  <sheetViews>
    <sheetView showGridLines="0" zoomScale="160" zoomScaleNormal="160" workbookViewId="0">
      <selection activeCell="H25" sqref="H25"/>
    </sheetView>
  </sheetViews>
  <sheetFormatPr baseColWidth="10" defaultColWidth="11.453125" defaultRowHeight="14.5" x14ac:dyDescent="0.35"/>
  <cols>
    <col min="1" max="1" width="20.453125" bestFit="1" customWidth="1"/>
    <col min="2" max="2" width="8" bestFit="1" customWidth="1"/>
    <col min="3" max="3" width="8.1796875" bestFit="1" customWidth="1"/>
    <col min="4" max="4" width="4.90625" bestFit="1" customWidth="1"/>
    <col min="5" max="6" width="8.1796875" bestFit="1" customWidth="1"/>
    <col min="8" max="8" width="20.453125" bestFit="1" customWidth="1"/>
    <col min="9" max="9" width="8" bestFit="1" customWidth="1"/>
    <col min="10" max="10" width="8.1796875" bestFit="1" customWidth="1"/>
    <col min="11" max="11" width="4.90625" bestFit="1" customWidth="1"/>
    <col min="12" max="13" width="8.1796875" bestFit="1" customWidth="1"/>
  </cols>
  <sheetData>
    <row r="1" spans="1:13" x14ac:dyDescent="0.35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5">
      <c r="A2" t="s">
        <v>107</v>
      </c>
      <c r="B2" s="22">
        <v>0.20833333333333334</v>
      </c>
      <c r="C2">
        <v>3</v>
      </c>
      <c r="D2">
        <v>35</v>
      </c>
      <c r="E2" s="29">
        <f>+Ruta1[[#This Row],[Tc]]/Ruta1[[#This Row],[BUSES]]</f>
        <v>11.666666666666666</v>
      </c>
      <c r="F2" s="23">
        <v>8.3333333333333332E-3</v>
      </c>
      <c r="H2" t="s">
        <v>106</v>
      </c>
      <c r="I2" s="22">
        <v>0.20833333333333334</v>
      </c>
      <c r="J2">
        <v>3</v>
      </c>
      <c r="K2">
        <v>35</v>
      </c>
      <c r="L2" s="29">
        <f>Ruta2[[#This Row],[Tc]]/Ruta2[[#This Row],[BUSES]]</f>
        <v>11.666666666666666</v>
      </c>
      <c r="M2" s="23">
        <v>4.8611111111111112E-3</v>
      </c>
    </row>
    <row r="3" spans="1:13" x14ac:dyDescent="0.35">
      <c r="A3" t="s">
        <v>107</v>
      </c>
      <c r="B3" s="22">
        <v>0.25</v>
      </c>
      <c r="C3">
        <v>5</v>
      </c>
      <c r="D3">
        <v>35</v>
      </c>
      <c r="E3" s="29">
        <f>+Ruta1[[#This Row],[Tc]]/Ruta1[[#This Row],[BUSES]]</f>
        <v>7</v>
      </c>
      <c r="F3" s="23">
        <v>4.8611111111111112E-3</v>
      </c>
      <c r="H3" t="s">
        <v>106</v>
      </c>
      <c r="I3" s="22">
        <v>0.25</v>
      </c>
      <c r="J3">
        <v>3</v>
      </c>
      <c r="K3">
        <v>35</v>
      </c>
      <c r="L3" s="29">
        <f>Ruta2[[#This Row],[Tc]]/Ruta2[[#This Row],[BUSES]]</f>
        <v>11.666666666666666</v>
      </c>
      <c r="M3" s="23">
        <v>4.8611111111111112E-3</v>
      </c>
    </row>
    <row r="4" spans="1:13" x14ac:dyDescent="0.35">
      <c r="A4" t="s">
        <v>107</v>
      </c>
      <c r="B4" s="22">
        <v>0.28125</v>
      </c>
      <c r="C4">
        <v>5</v>
      </c>
      <c r="D4">
        <v>35</v>
      </c>
      <c r="E4" s="29">
        <f>+Ruta1[[#This Row],[Tc]]/Ruta1[[#This Row],[BUSES]]</f>
        <v>7</v>
      </c>
      <c r="F4" s="23">
        <v>4.8611111111111112E-3</v>
      </c>
      <c r="H4" t="s">
        <v>106</v>
      </c>
      <c r="I4" s="22">
        <v>0.28125</v>
      </c>
      <c r="J4">
        <v>3</v>
      </c>
      <c r="K4">
        <v>35</v>
      </c>
      <c r="L4" s="29">
        <f>Ruta2[[#This Row],[Tc]]/Ruta2[[#This Row],[BUSES]]</f>
        <v>11.666666666666666</v>
      </c>
      <c r="M4" s="23">
        <v>4.8611111111111112E-3</v>
      </c>
    </row>
    <row r="5" spans="1:13" x14ac:dyDescent="0.35">
      <c r="A5" t="s">
        <v>107</v>
      </c>
      <c r="B5" s="22">
        <v>0.33333333333333331</v>
      </c>
      <c r="C5">
        <v>5</v>
      </c>
      <c r="D5">
        <v>35</v>
      </c>
      <c r="E5" s="29">
        <f>+Ruta1[[#This Row],[Tc]]/Ruta1[[#This Row],[BUSES]]</f>
        <v>7</v>
      </c>
      <c r="F5" s="23">
        <v>4.8611111111111112E-3</v>
      </c>
      <c r="H5" t="s">
        <v>106</v>
      </c>
      <c r="I5" s="22">
        <v>0.33333333333333331</v>
      </c>
      <c r="J5">
        <v>5</v>
      </c>
      <c r="K5">
        <v>35</v>
      </c>
      <c r="L5" s="29">
        <f>Ruta2[[#This Row],[Tc]]/Ruta2[[#This Row],[BUSES]]</f>
        <v>7</v>
      </c>
      <c r="M5" s="23">
        <v>4.8611111111111112E-3</v>
      </c>
    </row>
    <row r="6" spans="1:13" x14ac:dyDescent="0.35">
      <c r="A6" t="s">
        <v>107</v>
      </c>
      <c r="B6" s="22">
        <v>0.375</v>
      </c>
      <c r="C6">
        <v>5</v>
      </c>
      <c r="D6">
        <v>35</v>
      </c>
      <c r="E6" s="29">
        <f>+Ruta1[[#This Row],[Tc]]/Ruta1[[#This Row],[BUSES]]</f>
        <v>7</v>
      </c>
      <c r="F6" s="23">
        <v>4.8611111111111112E-3</v>
      </c>
      <c r="H6" t="s">
        <v>106</v>
      </c>
      <c r="I6" s="22">
        <v>0.375</v>
      </c>
      <c r="J6">
        <v>5</v>
      </c>
      <c r="K6">
        <v>35</v>
      </c>
      <c r="L6" s="29">
        <f>Ruta2[[#This Row],[Tc]]/Ruta2[[#This Row],[BUSES]]</f>
        <v>7</v>
      </c>
      <c r="M6" s="23">
        <v>4.8611111111111112E-3</v>
      </c>
    </row>
    <row r="7" spans="1:13" x14ac:dyDescent="0.35">
      <c r="A7" t="s">
        <v>107</v>
      </c>
      <c r="B7" s="22">
        <v>0.41666666666666669</v>
      </c>
      <c r="C7">
        <v>4</v>
      </c>
      <c r="D7">
        <v>35</v>
      </c>
      <c r="E7" s="29">
        <f>+Ruta1[[#This Row],[Tc]]/Ruta1[[#This Row],[BUSES]]</f>
        <v>8.75</v>
      </c>
      <c r="F7" s="23">
        <v>6.9444444444444441E-3</v>
      </c>
      <c r="H7" t="s">
        <v>106</v>
      </c>
      <c r="I7" s="22">
        <v>0.39583333333333331</v>
      </c>
      <c r="J7">
        <v>4</v>
      </c>
      <c r="K7">
        <v>35</v>
      </c>
      <c r="L7" s="29">
        <f>Ruta2[[#This Row],[Tc]]/Ruta2[[#This Row],[BUSES]]</f>
        <v>8.75</v>
      </c>
      <c r="M7" s="23">
        <v>6.9444444444444441E-3</v>
      </c>
    </row>
    <row r="8" spans="1:13" x14ac:dyDescent="0.35">
      <c r="A8" t="s">
        <v>107</v>
      </c>
      <c r="B8" s="22">
        <v>0.47916666666666669</v>
      </c>
      <c r="C8">
        <v>4</v>
      </c>
      <c r="D8">
        <v>35</v>
      </c>
      <c r="E8" s="29">
        <f>+Ruta1[[#This Row],[Tc]]/Ruta1[[#This Row],[BUSES]]</f>
        <v>8.75</v>
      </c>
      <c r="F8" s="23">
        <v>6.9444444444444441E-3</v>
      </c>
      <c r="H8" t="s">
        <v>106</v>
      </c>
      <c r="I8" s="22">
        <v>0.47916666666666669</v>
      </c>
      <c r="J8">
        <v>4</v>
      </c>
      <c r="K8">
        <v>35</v>
      </c>
      <c r="L8" s="29">
        <f>Ruta2[[#This Row],[Tc]]/Ruta2[[#This Row],[BUSES]]</f>
        <v>8.75</v>
      </c>
      <c r="M8" s="23">
        <v>6.9444444444444441E-3</v>
      </c>
    </row>
    <row r="9" spans="1:13" x14ac:dyDescent="0.35">
      <c r="A9" t="s">
        <v>107</v>
      </c>
      <c r="B9" s="22">
        <v>0.5</v>
      </c>
      <c r="C9">
        <v>4</v>
      </c>
      <c r="D9">
        <v>35</v>
      </c>
      <c r="E9" s="29">
        <f>+Ruta1[[#This Row],[Tc]]/Ruta1[[#This Row],[BUSES]]</f>
        <v>8.75</v>
      </c>
      <c r="F9" s="23">
        <v>6.9444444444444441E-3</v>
      </c>
      <c r="H9" t="s">
        <v>106</v>
      </c>
      <c r="I9" s="22">
        <v>0.5</v>
      </c>
      <c r="J9">
        <v>4</v>
      </c>
      <c r="K9">
        <v>35</v>
      </c>
      <c r="L9" s="29">
        <f>Ruta2[[#This Row],[Tc]]/Ruta2[[#This Row],[BUSES]]</f>
        <v>8.75</v>
      </c>
      <c r="M9" s="23">
        <v>6.9444444444444441E-3</v>
      </c>
    </row>
    <row r="10" spans="1:13" x14ac:dyDescent="0.35">
      <c r="A10" t="s">
        <v>107</v>
      </c>
      <c r="B10" s="22">
        <v>0.5625</v>
      </c>
      <c r="C10">
        <v>4</v>
      </c>
      <c r="D10">
        <v>35</v>
      </c>
      <c r="E10" s="29">
        <f>+Ruta1[[#This Row],[Tc]]/Ruta1[[#This Row],[BUSES]]</f>
        <v>8.75</v>
      </c>
      <c r="F10" s="23">
        <v>6.9444444444444441E-3</v>
      </c>
      <c r="H10" t="s">
        <v>106</v>
      </c>
      <c r="I10" s="22">
        <v>0.5625</v>
      </c>
      <c r="J10">
        <v>4</v>
      </c>
      <c r="K10">
        <v>35</v>
      </c>
      <c r="L10" s="29">
        <f>Ruta2[[#This Row],[Tc]]/Ruta2[[#This Row],[BUSES]]</f>
        <v>8.75</v>
      </c>
      <c r="M10" s="23">
        <v>6.9444444444444441E-3</v>
      </c>
    </row>
    <row r="11" spans="1:13" x14ac:dyDescent="0.35">
      <c r="A11" t="s">
        <v>107</v>
      </c>
      <c r="B11" s="22">
        <v>0.60416666666666663</v>
      </c>
      <c r="C11">
        <v>4</v>
      </c>
      <c r="D11">
        <v>35</v>
      </c>
      <c r="E11" s="29">
        <f>+Ruta1[[#This Row],[Tc]]/Ruta1[[#This Row],[BUSES]]</f>
        <v>8.75</v>
      </c>
      <c r="F11" s="23">
        <v>6.9444444444444441E-3</v>
      </c>
      <c r="H11" t="s">
        <v>106</v>
      </c>
      <c r="I11" s="22">
        <v>0.60416666666666663</v>
      </c>
      <c r="J11">
        <v>4</v>
      </c>
      <c r="K11">
        <v>35</v>
      </c>
      <c r="L11" s="29">
        <f>Ruta2[[#This Row],[Tc]]/Ruta2[[#This Row],[BUSES]]</f>
        <v>8.75</v>
      </c>
      <c r="M11" s="23">
        <v>6.9444444444444441E-3</v>
      </c>
    </row>
    <row r="12" spans="1:13" x14ac:dyDescent="0.35">
      <c r="A12" t="s">
        <v>107</v>
      </c>
      <c r="B12" s="22">
        <v>0.625</v>
      </c>
      <c r="C12">
        <v>5</v>
      </c>
      <c r="D12">
        <v>35</v>
      </c>
      <c r="E12" s="29">
        <f>+Ruta1[[#This Row],[Tc]]/Ruta1[[#This Row],[BUSES]]</f>
        <v>7</v>
      </c>
      <c r="F12" s="23">
        <v>6.9444444444444397E-3</v>
      </c>
      <c r="H12" t="s">
        <v>106</v>
      </c>
      <c r="I12" s="22">
        <v>0.625</v>
      </c>
      <c r="J12">
        <v>5</v>
      </c>
      <c r="K12">
        <v>35</v>
      </c>
      <c r="L12" s="29">
        <f>Ruta2[[#This Row],[Tc]]/Ruta2[[#This Row],[BUSES]]</f>
        <v>7</v>
      </c>
      <c r="M12" s="23">
        <v>4.8611111111111112E-3</v>
      </c>
    </row>
    <row r="13" spans="1:13" x14ac:dyDescent="0.35">
      <c r="A13" t="s">
        <v>107</v>
      </c>
      <c r="B13" s="22">
        <v>0.65625</v>
      </c>
      <c r="C13">
        <v>5</v>
      </c>
      <c r="D13">
        <v>35</v>
      </c>
      <c r="E13" s="29">
        <f>+Ruta1[[#This Row],[Tc]]/Ruta1[[#This Row],[BUSES]]</f>
        <v>7</v>
      </c>
      <c r="F13" s="23">
        <v>4.8611111111111112E-3</v>
      </c>
      <c r="H13" t="s">
        <v>106</v>
      </c>
      <c r="I13" s="22">
        <v>0.6875</v>
      </c>
      <c r="J13">
        <v>5</v>
      </c>
      <c r="K13">
        <v>35</v>
      </c>
      <c r="L13" s="29">
        <f>Ruta2[[#This Row],[Tc]]/Ruta2[[#This Row],[BUSES]]</f>
        <v>7</v>
      </c>
      <c r="M13" s="23">
        <v>4.8611111111111112E-3</v>
      </c>
    </row>
    <row r="14" spans="1:13" x14ac:dyDescent="0.35">
      <c r="A14" t="s">
        <v>107</v>
      </c>
      <c r="B14" s="22">
        <v>0.70833333333333304</v>
      </c>
      <c r="C14">
        <v>5</v>
      </c>
      <c r="D14">
        <v>35</v>
      </c>
      <c r="E14" s="29">
        <f>+Ruta1[[#This Row],[Tc]]/Ruta1[[#This Row],[BUSES]]</f>
        <v>7</v>
      </c>
      <c r="F14" s="23">
        <v>4.8611111111111112E-3</v>
      </c>
      <c r="H14" t="s">
        <v>106</v>
      </c>
      <c r="I14" s="22">
        <v>0.70833333333333304</v>
      </c>
      <c r="J14">
        <v>5</v>
      </c>
      <c r="K14">
        <v>35</v>
      </c>
      <c r="L14" s="29">
        <f>Ruta2[[#This Row],[Tc]]/Ruta2[[#This Row],[BUSES]]</f>
        <v>7</v>
      </c>
      <c r="M14" s="23">
        <v>4.8611111111111103E-3</v>
      </c>
    </row>
    <row r="15" spans="1:13" x14ac:dyDescent="0.35">
      <c r="A15" t="s">
        <v>107</v>
      </c>
      <c r="B15" s="22">
        <v>0.75</v>
      </c>
      <c r="C15">
        <v>5</v>
      </c>
      <c r="D15">
        <v>35</v>
      </c>
      <c r="E15" s="29">
        <f>+Ruta1[[#This Row],[Tc]]/Ruta1[[#This Row],[BUSES]]</f>
        <v>7</v>
      </c>
      <c r="F15" s="23">
        <v>4.8611111111111112E-3</v>
      </c>
      <c r="H15" t="s">
        <v>106</v>
      </c>
      <c r="I15" s="22">
        <v>0.75</v>
      </c>
      <c r="J15">
        <v>5</v>
      </c>
      <c r="K15">
        <v>35</v>
      </c>
      <c r="L15" s="29">
        <f>Ruta2[[#This Row],[Tc]]/Ruta2[[#This Row],[BUSES]]</f>
        <v>7</v>
      </c>
      <c r="M15" s="23">
        <v>4.8611111111111103E-3</v>
      </c>
    </row>
    <row r="16" spans="1:13" x14ac:dyDescent="0.35">
      <c r="A16" t="s">
        <v>107</v>
      </c>
      <c r="B16" s="22">
        <v>0.79166666666666663</v>
      </c>
      <c r="C16">
        <v>3</v>
      </c>
      <c r="D16">
        <v>35</v>
      </c>
      <c r="E16" s="29">
        <f>+Ruta1[[#This Row],[Tc]]/Ruta1[[#This Row],[BUSES]]</f>
        <v>11.666666666666666</v>
      </c>
      <c r="F16" s="23">
        <v>9.7222222222222224E-3</v>
      </c>
      <c r="H16" t="s">
        <v>106</v>
      </c>
      <c r="I16" s="22">
        <v>0.79166666666666663</v>
      </c>
      <c r="J16">
        <v>3</v>
      </c>
      <c r="K16">
        <v>35</v>
      </c>
      <c r="L16" s="29">
        <f>Ruta2[[#This Row],[Tc]]/Ruta2[[#This Row],[BUSES]]</f>
        <v>11.666666666666666</v>
      </c>
      <c r="M16" s="23">
        <v>9.7222222222222224E-3</v>
      </c>
    </row>
    <row r="17" spans="1:13" x14ac:dyDescent="0.35">
      <c r="A17" t="s">
        <v>107</v>
      </c>
      <c r="B17" s="22">
        <v>0.83333333333333304</v>
      </c>
      <c r="C17">
        <v>3</v>
      </c>
      <c r="D17">
        <v>35</v>
      </c>
      <c r="E17" s="29">
        <f>+Ruta1[[#This Row],[Tc]]/Ruta1[[#This Row],[BUSES]]</f>
        <v>11.666666666666666</v>
      </c>
      <c r="F17" s="23">
        <v>9.7222222222222224E-3</v>
      </c>
      <c r="H17" t="s">
        <v>106</v>
      </c>
      <c r="I17" s="22">
        <v>0.83333333333333304</v>
      </c>
      <c r="J17">
        <v>3</v>
      </c>
      <c r="K17">
        <v>35</v>
      </c>
      <c r="L17" s="29">
        <f>Ruta2[[#This Row],[Tc]]/Ruta2[[#This Row],[BUSES]]</f>
        <v>11.666666666666666</v>
      </c>
      <c r="M17" s="23">
        <v>9.7222222222222224E-3</v>
      </c>
    </row>
    <row r="18" spans="1:13" x14ac:dyDescent="0.35">
      <c r="B18" s="22"/>
      <c r="E18" s="29"/>
    </row>
    <row r="19" spans="1:13" x14ac:dyDescent="0.35">
      <c r="B19" s="22"/>
      <c r="E19" s="29"/>
      <c r="M19" s="23"/>
    </row>
    <row r="20" spans="1:13" x14ac:dyDescent="0.35">
      <c r="B20" s="22"/>
      <c r="E20" s="29"/>
    </row>
    <row r="21" spans="1:13" x14ac:dyDescent="0.35">
      <c r="B21" s="22"/>
      <c r="E21" s="29"/>
    </row>
    <row r="22" spans="1:13" x14ac:dyDescent="0.35">
      <c r="B22" s="22"/>
      <c r="E22" s="29"/>
    </row>
    <row r="23" spans="1:13" x14ac:dyDescent="0.35">
      <c r="B23" s="22"/>
      <c r="E23" s="29"/>
    </row>
    <row r="24" spans="1:13" x14ac:dyDescent="0.35">
      <c r="B24" s="22"/>
      <c r="E24" s="29"/>
    </row>
    <row r="25" spans="1:13" x14ac:dyDescent="0.35">
      <c r="B25" s="22"/>
      <c r="E25" s="29"/>
    </row>
    <row r="26" spans="1:13" x14ac:dyDescent="0.35">
      <c r="B26" s="22"/>
      <c r="E26" s="29"/>
    </row>
    <row r="27" spans="1:13" x14ac:dyDescent="0.35">
      <c r="B27" s="22"/>
      <c r="E27" s="29"/>
    </row>
    <row r="28" spans="1:13" x14ac:dyDescent="0.35">
      <c r="B28" s="22"/>
      <c r="E28" s="29"/>
    </row>
    <row r="29" spans="1:13" x14ac:dyDescent="0.35">
      <c r="B29" s="22"/>
      <c r="E29" s="29"/>
    </row>
    <row r="30" spans="1:13" x14ac:dyDescent="0.35">
      <c r="B30" s="22"/>
      <c r="E30" s="29"/>
    </row>
    <row r="31" spans="1:13" x14ac:dyDescent="0.35">
      <c r="B31" s="22"/>
      <c r="E31" s="29"/>
    </row>
    <row r="32" spans="1:13" x14ac:dyDescent="0.35">
      <c r="B32" s="22"/>
      <c r="E32" s="29"/>
    </row>
    <row r="33" spans="2:5" x14ac:dyDescent="0.35">
      <c r="B33" s="22"/>
      <c r="E33" s="29"/>
    </row>
    <row r="34" spans="2:5" x14ac:dyDescent="0.35">
      <c r="B34" s="22"/>
      <c r="E34" s="29"/>
    </row>
    <row r="35" spans="2:5" x14ac:dyDescent="0.35">
      <c r="B35" s="22"/>
      <c r="E35" s="29"/>
    </row>
    <row r="36" spans="2:5" x14ac:dyDescent="0.35">
      <c r="B36" s="22"/>
      <c r="E36" s="29"/>
    </row>
    <row r="37" spans="2:5" x14ac:dyDescent="0.35">
      <c r="B37" s="22"/>
      <c r="E37" s="29"/>
    </row>
    <row r="38" spans="2:5" x14ac:dyDescent="0.35">
      <c r="B38" s="22"/>
      <c r="E38" s="29"/>
    </row>
    <row r="39" spans="2:5" x14ac:dyDescent="0.35">
      <c r="B39" s="22"/>
      <c r="E39" s="29"/>
    </row>
    <row r="40" spans="2:5" x14ac:dyDescent="0.35">
      <c r="B40" s="22"/>
      <c r="E40" s="29"/>
    </row>
    <row r="41" spans="2:5" x14ac:dyDescent="0.35">
      <c r="B41" s="22"/>
      <c r="E41" s="29"/>
    </row>
    <row r="42" spans="2:5" x14ac:dyDescent="0.35">
      <c r="B42" s="22"/>
      <c r="E42" s="29"/>
    </row>
    <row r="43" spans="2:5" x14ac:dyDescent="0.35">
      <c r="B43" s="22"/>
      <c r="E43" s="29"/>
    </row>
    <row r="44" spans="2:5" x14ac:dyDescent="0.35">
      <c r="B44" s="22"/>
      <c r="E44" s="29"/>
    </row>
    <row r="45" spans="2:5" x14ac:dyDescent="0.35">
      <c r="B45" s="22"/>
      <c r="E45" s="29"/>
    </row>
    <row r="46" spans="2:5" x14ac:dyDescent="0.35">
      <c r="B46" s="22"/>
      <c r="E46" s="29"/>
    </row>
    <row r="47" spans="2:5" x14ac:dyDescent="0.35">
      <c r="B47" s="22"/>
      <c r="E47" s="29"/>
    </row>
    <row r="48" spans="2:5" x14ac:dyDescent="0.35">
      <c r="B48" s="22"/>
      <c r="E48" s="29"/>
    </row>
    <row r="49" spans="2:5" x14ac:dyDescent="0.35">
      <c r="B49" s="22"/>
      <c r="E49" s="29"/>
    </row>
    <row r="50" spans="2:5" x14ac:dyDescent="0.35">
      <c r="B50" s="22"/>
      <c r="E50" s="29"/>
    </row>
    <row r="51" spans="2:5" x14ac:dyDescent="0.35">
      <c r="B51" s="22"/>
      <c r="E51" s="29"/>
    </row>
    <row r="52" spans="2:5" x14ac:dyDescent="0.35">
      <c r="B52" s="22"/>
      <c r="E52" s="29"/>
    </row>
    <row r="53" spans="2:5" x14ac:dyDescent="0.35">
      <c r="B53" s="22"/>
      <c r="E53" s="29"/>
    </row>
    <row r="54" spans="2:5" x14ac:dyDescent="0.35">
      <c r="B54" s="22"/>
      <c r="E54" s="29"/>
    </row>
    <row r="55" spans="2:5" x14ac:dyDescent="0.35">
      <c r="B55" s="22"/>
      <c r="E55" s="29"/>
    </row>
    <row r="56" spans="2:5" x14ac:dyDescent="0.35">
      <c r="B56" s="22"/>
      <c r="E56" s="29"/>
    </row>
    <row r="57" spans="2:5" x14ac:dyDescent="0.35">
      <c r="B57" s="22"/>
      <c r="E57" s="29"/>
    </row>
    <row r="58" spans="2:5" x14ac:dyDescent="0.35">
      <c r="B58" s="22"/>
      <c r="E58" s="29"/>
    </row>
    <row r="59" spans="2:5" x14ac:dyDescent="0.35">
      <c r="B59" s="22"/>
      <c r="E59" s="29"/>
    </row>
    <row r="60" spans="2:5" x14ac:dyDescent="0.35">
      <c r="B60" s="22"/>
      <c r="E60" s="29"/>
    </row>
    <row r="61" spans="2:5" x14ac:dyDescent="0.35">
      <c r="B61" s="22"/>
      <c r="E61" s="29"/>
    </row>
    <row r="62" spans="2:5" x14ac:dyDescent="0.35">
      <c r="B62" s="22"/>
      <c r="E62" s="29"/>
    </row>
    <row r="63" spans="2:5" x14ac:dyDescent="0.35">
      <c r="B63" s="22"/>
      <c r="E63" s="29"/>
    </row>
    <row r="64" spans="2:5" x14ac:dyDescent="0.35">
      <c r="B64" s="22"/>
      <c r="E64" s="29"/>
    </row>
    <row r="65" spans="2:5" x14ac:dyDescent="0.35">
      <c r="B65" s="22"/>
      <c r="E65" s="29"/>
    </row>
    <row r="66" spans="2:5" x14ac:dyDescent="0.35">
      <c r="B66" s="22"/>
      <c r="E66" s="29"/>
    </row>
    <row r="67" spans="2:5" x14ac:dyDescent="0.35">
      <c r="B67" s="22"/>
      <c r="E67" s="29"/>
    </row>
    <row r="68" spans="2:5" x14ac:dyDescent="0.35">
      <c r="B68" s="22"/>
      <c r="E68" s="29"/>
    </row>
    <row r="69" spans="2:5" x14ac:dyDescent="0.35">
      <c r="B69" s="22"/>
      <c r="E69" s="29"/>
    </row>
    <row r="70" spans="2:5" x14ac:dyDescent="0.35">
      <c r="B70" s="22"/>
      <c r="E70" s="29"/>
    </row>
    <row r="71" spans="2:5" x14ac:dyDescent="0.35">
      <c r="B71" s="22"/>
      <c r="E71" s="29"/>
    </row>
    <row r="72" spans="2:5" x14ac:dyDescent="0.35">
      <c r="B72" s="22"/>
      <c r="E72" s="29"/>
    </row>
    <row r="73" spans="2:5" x14ac:dyDescent="0.35">
      <c r="B73" s="22"/>
      <c r="E73" s="29"/>
    </row>
    <row r="74" spans="2:5" x14ac:dyDescent="0.35">
      <c r="B74" s="22"/>
      <c r="E74" s="29"/>
    </row>
    <row r="75" spans="2:5" x14ac:dyDescent="0.35">
      <c r="B75" s="22"/>
      <c r="E75" s="29"/>
    </row>
    <row r="76" spans="2:5" x14ac:dyDescent="0.35">
      <c r="B76" s="22"/>
      <c r="E76" s="29"/>
    </row>
    <row r="77" spans="2:5" x14ac:dyDescent="0.35">
      <c r="B77" s="22"/>
      <c r="E77" s="29"/>
    </row>
    <row r="78" spans="2:5" x14ac:dyDescent="0.35">
      <c r="B78" s="22"/>
      <c r="E78" s="29"/>
    </row>
    <row r="79" spans="2:5" x14ac:dyDescent="0.35">
      <c r="B79" s="22"/>
      <c r="E79" s="29"/>
    </row>
    <row r="80" spans="2:5" x14ac:dyDescent="0.35">
      <c r="B80" s="22"/>
      <c r="E80" s="29"/>
    </row>
    <row r="81" spans="2:5" x14ac:dyDescent="0.35">
      <c r="B81" s="22"/>
      <c r="E81" s="29"/>
    </row>
    <row r="82" spans="2:5" x14ac:dyDescent="0.35">
      <c r="B82" s="22"/>
      <c r="E82" s="29"/>
    </row>
    <row r="83" spans="2:5" x14ac:dyDescent="0.35">
      <c r="B83" s="22"/>
      <c r="E83" s="29"/>
    </row>
    <row r="84" spans="2:5" x14ac:dyDescent="0.35">
      <c r="B84" s="22"/>
      <c r="E84" s="29"/>
    </row>
    <row r="85" spans="2:5" x14ac:dyDescent="0.35">
      <c r="B85" s="22"/>
      <c r="E85" s="29"/>
    </row>
    <row r="86" spans="2:5" x14ac:dyDescent="0.35">
      <c r="B86" s="22"/>
      <c r="E86" s="29"/>
    </row>
    <row r="87" spans="2:5" x14ac:dyDescent="0.35">
      <c r="B87" s="22"/>
      <c r="E87" s="29"/>
    </row>
    <row r="88" spans="2:5" x14ac:dyDescent="0.35">
      <c r="B88" s="22"/>
      <c r="E88" s="29"/>
    </row>
    <row r="89" spans="2:5" x14ac:dyDescent="0.35">
      <c r="B89" s="22"/>
      <c r="E89" s="29"/>
    </row>
    <row r="90" spans="2:5" x14ac:dyDescent="0.35">
      <c r="B90" s="22"/>
      <c r="E90" s="29"/>
    </row>
    <row r="91" spans="2:5" x14ac:dyDescent="0.35">
      <c r="B91" s="22"/>
      <c r="E91" s="29"/>
    </row>
    <row r="92" spans="2:5" x14ac:dyDescent="0.35">
      <c r="B92" s="22"/>
      <c r="E92" s="29"/>
    </row>
    <row r="93" spans="2:5" x14ac:dyDescent="0.35">
      <c r="B93" s="22"/>
      <c r="E93" s="29"/>
    </row>
    <row r="94" spans="2:5" x14ac:dyDescent="0.35">
      <c r="B94" s="22"/>
      <c r="E94" s="29"/>
    </row>
    <row r="95" spans="2:5" x14ac:dyDescent="0.35">
      <c r="B95" s="22"/>
      <c r="E95" s="29"/>
    </row>
    <row r="96" spans="2:5" x14ac:dyDescent="0.35">
      <c r="B96" s="22"/>
      <c r="E96" s="29"/>
    </row>
    <row r="97" spans="2:5" x14ac:dyDescent="0.35">
      <c r="B97" s="22"/>
      <c r="E97" s="2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3BA1F-A5B9-49BB-B852-3F12BC2B8DF6}">
  <sheetPr codeName="Hoja28"/>
  <dimension ref="A1:AM147"/>
  <sheetViews>
    <sheetView showGridLines="0" zoomScaleNormal="100" workbookViewId="0">
      <pane ySplit="3" topLeftCell="A4" activePane="bottomLeft" state="frozen"/>
      <selection pane="bottomLeft" sqref="A1:B1"/>
    </sheetView>
  </sheetViews>
  <sheetFormatPr baseColWidth="10" defaultColWidth="11.453125" defaultRowHeight="14.5" x14ac:dyDescent="0.35"/>
  <cols>
    <col min="1" max="1" width="5.453125" bestFit="1" customWidth="1"/>
    <col min="2" max="2" width="7.08984375" style="28" customWidth="1"/>
    <col min="3" max="7" width="9.81640625" customWidth="1"/>
    <col min="8" max="8" width="9.81640625" style="23" customWidth="1"/>
    <col min="9" max="9" width="9.81640625" customWidth="1"/>
    <col min="10" max="10" width="11.08984375" bestFit="1" customWidth="1"/>
    <col min="11" max="12" width="7.36328125" hidden="1" customWidth="1"/>
    <col min="13" max="13" width="11.81640625" hidden="1" customWidth="1"/>
    <col min="14" max="14" width="7.90625" bestFit="1" customWidth="1"/>
    <col min="15" max="15" width="0.90625" customWidth="1"/>
    <col min="16" max="16" width="5.54296875" style="31" bestFit="1" customWidth="1"/>
    <col min="17" max="17" width="0.81640625" style="31" customWidth="1"/>
    <col min="18" max="18" width="5.453125" bestFit="1" customWidth="1"/>
    <col min="19" max="19" width="5.1796875" style="28" customWidth="1"/>
    <col min="20" max="20" width="10.1796875" bestFit="1" customWidth="1"/>
    <col min="21" max="23" width="9.81640625" customWidth="1"/>
    <col min="24" max="24" width="11.81640625" customWidth="1"/>
    <col min="25" max="25" width="10.6328125" bestFit="1" customWidth="1"/>
    <col min="26" max="26" width="10.81640625" bestFit="1" customWidth="1"/>
    <col min="27" max="27" width="11.08984375" bestFit="1" customWidth="1"/>
    <col min="28" max="29" width="7.36328125" hidden="1" customWidth="1"/>
    <col min="30" max="30" width="14.1796875" hidden="1" customWidth="1"/>
    <col min="31" max="31" width="7.90625" bestFit="1" customWidth="1"/>
    <col min="32" max="33" width="2" bestFit="1" customWidth="1"/>
    <col min="34" max="34" width="4" bestFit="1" customWidth="1"/>
    <col min="35" max="37" width="3" bestFit="1" customWidth="1"/>
    <col min="38" max="38" width="4.1796875" bestFit="1" customWidth="1"/>
    <col min="39" max="39" width="7.90625" bestFit="1" customWidth="1"/>
  </cols>
  <sheetData>
    <row r="1" spans="1:39" x14ac:dyDescent="0.35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5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5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73" si="0">+$D$2</f>
        <v>4.2361111111111106E-2</v>
      </c>
      <c r="G4" s="23">
        <f>C4+F4</f>
        <v>0.25763888888888892</v>
      </c>
      <c r="I4" s="23"/>
      <c r="J4" s="23">
        <f t="shared" ref="J4:J67" si="1">+C4+H4</f>
        <v>0.21527777777777779</v>
      </c>
      <c r="K4" s="30">
        <f>(G4-C4)+TrCeib1181520[[#This Row],[Tt_tex]]</f>
        <v>4.2361111111111127E-2</v>
      </c>
      <c r="L4" s="30">
        <f>SUMIF(B$4:$B4,TrCeib1181520[[#This Row],[BUS]],$K$4:K4)</f>
        <v>4.2361111111111127E-2</v>
      </c>
      <c r="M4" s="23">
        <f>_xlfn.IFNA(VLOOKUP(TrCeib1181520[[#This Row],[BUS]],_xlfn._xlws.SORT(VeredaTr1291621[[BUS]:[T2]],11,-1,FALSE),11,FALSE),0)</f>
        <v>0.22083333333333321</v>
      </c>
      <c r="N4" s="23">
        <f>+TrCeib1181520[[#This Row],[∑TrCeib]]+TrCeib1181520[[#This Row],[T2]]</f>
        <v>0.26319444444444434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38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69" si="3">+T4+Y4</f>
        <v>0.21527777777777779</v>
      </c>
      <c r="AB4" s="30">
        <f t="shared" ref="AB4:AB69" si="4">(X4-T4)</f>
        <v>3.6805555555555536E-2</v>
      </c>
      <c r="AC4" s="30">
        <f>SUMIF($S$4:S4,S4,$AB$4:AB4)</f>
        <v>3.6805555555555536E-2</v>
      </c>
      <c r="AD4" s="23">
        <f>_xlfn.IFNA(VLOOKUP(VeredaTr1291621[[#This Row],[BUS]],_xlfn._xlws.SORT(TrCeib1181520[[BUS]:[T2]],11,-1,FALSE),11,FALSE),0)</f>
        <v>0.25416666666666665</v>
      </c>
      <c r="AE4" s="23">
        <f>+VeredaTr1291621[[#This Row],[∑VeredaTr]]+VeredaTr1291621[[#This Row],[T2]]</f>
        <v>0.29097222222222219</v>
      </c>
      <c r="AL4" s="7">
        <v>1</v>
      </c>
      <c r="AM4" s="55">
        <f>VLOOKUP(AL4,_xlfn._xlws.SORT(VeredaTr1291621[[BUS]:[∑]],13,-1,FALSE),13,FALSE)</f>
        <v>0.47499999999999981</v>
      </c>
    </row>
    <row r="5" spans="1:39" x14ac:dyDescent="0.35">
      <c r="A5" t="s">
        <v>63</v>
      </c>
      <c r="B5" s="28">
        <v>2</v>
      </c>
      <c r="C5" s="23">
        <v>0.22569444444444445</v>
      </c>
      <c r="D5" s="23">
        <f t="shared" ref="D5:D68" si="5">C5-C4</f>
        <v>1.0416666666666657E-2</v>
      </c>
      <c r="E5" s="23">
        <f>VLOOKUP(TrCeib1181520[[#This Row],[HORA]],'OFERTA (4)'!I:M,5,TRUE)</f>
        <v>4.8611111111111112E-3</v>
      </c>
      <c r="F5" s="23">
        <f t="shared" si="0"/>
        <v>4.2361111111111106E-2</v>
      </c>
      <c r="G5" s="23">
        <f t="shared" ref="G5:G68" si="6">C5+F5</f>
        <v>0.26805555555555555</v>
      </c>
      <c r="H5" s="23">
        <f t="shared" ref="H5:H68" si="7">+(C4+E5)-C5</f>
        <v>-5.5555555555555358E-3</v>
      </c>
      <c r="I5" s="23"/>
      <c r="J5" s="23">
        <f t="shared" si="1"/>
        <v>0.22013888888888891</v>
      </c>
      <c r="K5" s="30">
        <f>(G5-C5)+TrCeib1181520[[#This Row],[Tt_tex]]</f>
        <v>4.2361111111111099E-2</v>
      </c>
      <c r="L5" s="30">
        <f>SUMIF(B$4:$B5,TrCeib1181520[[#This Row],[BUS]],$K$4:K5)</f>
        <v>4.2361111111111099E-2</v>
      </c>
      <c r="M5" s="23">
        <f>_xlfn.IFNA(VLOOKUP(TrCeib1181520[[#This Row],[BUS]],_xlfn._xlws.SORT(VeredaTr1291621[[BUS]:[T2]],11,-1,FALSE),11,FALSE),0)</f>
        <v>0.22083333333333321</v>
      </c>
      <c r="N5" s="23">
        <f>+TrCeib1181520[[#This Row],[∑TrCeib]]+TrCeib1181520[[#This Row],[T2]]</f>
        <v>0.26319444444444429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VLOOKUP(VeredaTr1291621[[#This Row],[HORA]],'OFERTA (4)'!B:F,5,TRUE)</f>
        <v>8.3333333333333332E-3</v>
      </c>
      <c r="W5" s="23">
        <f t="shared" ref="W5:W68" si="8">+$U$2</f>
        <v>3.6805555555555557E-2</v>
      </c>
      <c r="X5" s="23">
        <f t="shared" ref="X5:X68" si="9">+T5+W5</f>
        <v>0.26250000000000001</v>
      </c>
      <c r="Y5" s="23">
        <f t="shared" ref="Y5:Y38" si="10">+(T4+V5)-T5</f>
        <v>-2.0833333333333259E-3</v>
      </c>
      <c r="Z5" s="23"/>
      <c r="AA5" s="23">
        <f t="shared" si="3"/>
        <v>0.22361111111111112</v>
      </c>
      <c r="AB5" s="30">
        <f t="shared" si="4"/>
        <v>3.6805555555555564E-2</v>
      </c>
      <c r="AC5" s="30">
        <f>SUMIF($S$4:S5,S5,$AB$4:AB5)</f>
        <v>3.6805555555555564E-2</v>
      </c>
      <c r="AD5" s="23">
        <f>_xlfn.IFNA(VLOOKUP(VeredaTr1291621[[#This Row],[BUS]],_xlfn._xlws.SORT(TrCeib1181520[[BUS]:[T2]],11,-1,FALSE),11,FALSE),0)</f>
        <v>0.21180555555555552</v>
      </c>
      <c r="AE5" s="23">
        <f>+VeredaTr1291621[[#This Row],[∑VeredaTr]]+VeredaTr1291621[[#This Row],[T2]]</f>
        <v>0.24861111111111109</v>
      </c>
      <c r="AL5" s="7">
        <v>2</v>
      </c>
      <c r="AM5" s="55">
        <f>VLOOKUP(AL5,_xlfn._xlws.SORT(VeredaTr1291621[[BUS]:[∑]],13,-1,FALSE),13,FALSE)</f>
        <v>0.47499999999999976</v>
      </c>
    </row>
    <row r="6" spans="1:39" x14ac:dyDescent="0.35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VLOOKUP(TrCeib1181520[[#This Row],[HORA]],'OFERTA (4)'!I:M,5,TRUE)</f>
        <v>4.8611111111111112E-3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-5.5555555555555636E-3</v>
      </c>
      <c r="I6" s="23"/>
      <c r="J6" s="23">
        <f t="shared" si="1"/>
        <v>0.23055555555555557</v>
      </c>
      <c r="K6" s="30">
        <f>(G6-C6)+TrCeib1181520[[#This Row],[Tt_tex]]</f>
        <v>4.2361111111111099E-2</v>
      </c>
      <c r="L6" s="30">
        <f>SUMIF(B$4:$B6,TrCeib1181520[[#This Row],[BUS]],$K$4:K6)</f>
        <v>4.2361111111111099E-2</v>
      </c>
      <c r="M6" s="23">
        <f>_xlfn.IFNA(VLOOKUP(TrCeib1181520[[#This Row],[BUS]],_xlfn._xlws.SORT(VeredaTr1291621[[BUS]:[T2]],11,-1,FALSE),11,FALSE),0)</f>
        <v>0.18402777777777768</v>
      </c>
      <c r="N6" s="23">
        <f>+TrCeib1181520[[#This Row],[∑TrCeib]]+TrCeib1181520[[#This Row],[T2]]</f>
        <v>0.22638888888888878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VLOOKUP(VeredaTr1291621[[#This Row],[HORA]],'OFERTA (4)'!B:F,5,TRUE)</f>
        <v>8.3333333333333332E-3</v>
      </c>
      <c r="W6" s="23">
        <f t="shared" si="8"/>
        <v>3.6805555555555557E-2</v>
      </c>
      <c r="X6" s="23">
        <f t="shared" si="9"/>
        <v>0.2729166666666667</v>
      </c>
      <c r="Y6" s="23">
        <f t="shared" si="10"/>
        <v>-2.0833333333333537E-3</v>
      </c>
      <c r="Z6" s="23"/>
      <c r="AA6" s="23">
        <f t="shared" si="3"/>
        <v>0.23402777777777778</v>
      </c>
      <c r="AB6" s="30">
        <f t="shared" si="4"/>
        <v>3.6805555555555564E-2</v>
      </c>
      <c r="AC6" s="30">
        <f>SUMIF($S$4:S6,S6,$AB$4:AB6)</f>
        <v>3.6805555555555564E-2</v>
      </c>
      <c r="AD6" s="23">
        <f>_xlfn.IFNA(VLOOKUP(VeredaTr1291621[[#This Row],[BUS]],_xlfn._xlws.SORT(TrCeib1181520[[BUS]:[T2]],11,-1,FALSE),11,FALSE),0)</f>
        <v>0.25416666666666654</v>
      </c>
      <c r="AE6" s="23">
        <f>+VeredaTr1291621[[#This Row],[∑VeredaTr]]+VeredaTr1291621[[#This Row],[T2]]</f>
        <v>0.29097222222222208</v>
      </c>
      <c r="AL6" s="7">
        <v>3</v>
      </c>
      <c r="AM6" s="55">
        <f>VLOOKUP(AL6,_xlfn._xlws.SORT(VeredaTr1291621[[BUS]:[∑]],13,-1,FALSE),13,FALSE)</f>
        <v>0.39583333333333315</v>
      </c>
    </row>
    <row r="7" spans="1:39" x14ac:dyDescent="0.35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VLOOKUP(TrCeib1181520[[#This Row],[HORA]],'OFERTA (4)'!I:M,5,TRUE)</f>
        <v>4.8611111111111112E-3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-5.5555555555555358E-3</v>
      </c>
      <c r="I7" s="23"/>
      <c r="J7" s="23">
        <f t="shared" si="1"/>
        <v>0.24097222222222225</v>
      </c>
      <c r="K7" s="30">
        <f>(G7-C7)+TrCeib1181520[[#This Row],[Tt_tex]]</f>
        <v>4.2361111111111127E-2</v>
      </c>
      <c r="L7" s="30">
        <f>SUMIF(B$4:$B7,TrCeib1181520[[#This Row],[BUS]],$K$4:K7)</f>
        <v>4.2361111111111127E-2</v>
      </c>
      <c r="M7" s="23">
        <f>_xlfn.IFNA(VLOOKUP(TrCeib1181520[[#This Row],[BUS]],_xlfn._xlws.SORT(VeredaTr1291621[[BUS]:[T2]],11,-1,FALSE),11,FALSE),0)</f>
        <v>0.22083333333333321</v>
      </c>
      <c r="N7" s="23">
        <f>+TrCeib1181520[[#This Row],[∑TrCeib]]+TrCeib1181520[[#This Row],[T2]]</f>
        <v>0.26319444444444434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VLOOKUP(VeredaTr1291621[[#This Row],[HORA]],'OFERTA (4)'!B:F,5,TRUE)</f>
        <v>8.3333333333333332E-3</v>
      </c>
      <c r="W7" s="23">
        <f t="shared" si="8"/>
        <v>3.6805555555555557E-2</v>
      </c>
      <c r="X7" s="23">
        <f t="shared" si="9"/>
        <v>0.28333333333333333</v>
      </c>
      <c r="Y7" s="23">
        <f t="shared" si="10"/>
        <v>-2.0833333333333259E-3</v>
      </c>
      <c r="Z7" s="23"/>
      <c r="AA7" s="23">
        <f t="shared" si="3"/>
        <v>0.24444444444444446</v>
      </c>
      <c r="AB7" s="30">
        <f t="shared" si="4"/>
        <v>3.6805555555555536E-2</v>
      </c>
      <c r="AC7" s="30">
        <f>SUMIF($S$4:S7,S7,$AB$4:AB7)</f>
        <v>3.6805555555555536E-2</v>
      </c>
      <c r="AD7" s="23">
        <f>_xlfn.IFNA(VLOOKUP(VeredaTr1291621[[#This Row],[BUS]],_xlfn._xlws.SORT(TrCeib1181520[[BUS]:[T2]],11,-1,FALSE),11,FALSE),0)</f>
        <v>0.21180555555555547</v>
      </c>
      <c r="AE7" s="23">
        <f>+VeredaTr1291621[[#This Row],[∑VeredaTr]]+VeredaTr1291621[[#This Row],[T2]]</f>
        <v>0.24861111111111101</v>
      </c>
      <c r="AL7" s="7">
        <v>4</v>
      </c>
      <c r="AM7" s="55">
        <f>VLOOKUP(AL7,_xlfn._xlws.SORT(VeredaTr1291621[[BUS]:[∑]],13,-1,FALSE),13,FALSE)</f>
        <v>0.51597222222222205</v>
      </c>
    </row>
    <row r="8" spans="1:39" x14ac:dyDescent="0.35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VLOOKUP(TrCeib1181520[[#This Row],[HORA]],'OFERTA (4)'!I:M,5,TRUE)</f>
        <v>4.8611111111111112E-3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-6.9444444444444198E-4</v>
      </c>
      <c r="I8" s="23"/>
      <c r="J8" s="23">
        <f t="shared" si="1"/>
        <v>0.25138888888888888</v>
      </c>
      <c r="K8" s="30">
        <f>(G8-C8)+TrCeib1181520[[#This Row],[Tt_tex]]</f>
        <v>4.2361111111111127E-2</v>
      </c>
      <c r="L8" s="30">
        <f>SUMIF(B$4:$B8,TrCeib1181520[[#This Row],[BUS]],$K$4:K8)</f>
        <v>4.2361111111111127E-2</v>
      </c>
      <c r="M8" s="23">
        <f>_xlfn.IFNA(VLOOKUP(TrCeib1181520[[#This Row],[BUS]],_xlfn._xlws.SORT(VeredaTr1291621[[BUS]:[T2]],11,-1,FALSE),11,FALSE),0)</f>
        <v>0.25763888888888875</v>
      </c>
      <c r="N8" s="23">
        <f>+TrCeib1181520[[#This Row],[∑TrCeib]]+TrCeib1181520[[#This Row],[T2]]</f>
        <v>0.29999999999999988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VLOOKUP(VeredaTr1291621[[#This Row],[HORA]],'OFERTA (4)'!B:F,5,TRUE)</f>
        <v>4.8611111111111112E-3</v>
      </c>
      <c r="W8" s="23">
        <f t="shared" si="8"/>
        <v>3.6805555555555557E-2</v>
      </c>
      <c r="X8" s="23">
        <f t="shared" si="9"/>
        <v>0.29444444444444445</v>
      </c>
      <c r="Y8" s="23">
        <f t="shared" si="10"/>
        <v>-6.2500000000000333E-3</v>
      </c>
      <c r="Z8" s="23"/>
      <c r="AA8" s="23">
        <f t="shared" si="3"/>
        <v>0.25138888888888888</v>
      </c>
      <c r="AB8" s="30">
        <f t="shared" si="4"/>
        <v>3.6805555555555536E-2</v>
      </c>
      <c r="AC8" s="30">
        <f>SUMIF($S$4:S8,S8,$AB$4:AB8)</f>
        <v>3.6805555555555536E-2</v>
      </c>
      <c r="AD8" s="23">
        <f>_xlfn.IFNA(VLOOKUP(VeredaTr1291621[[#This Row],[BUS]],_xlfn._xlws.SORT(TrCeib1181520[[BUS]:[T2]],11,-1,FALSE),11,FALSE),0)</f>
        <v>0.2541666666666666</v>
      </c>
      <c r="AE8" s="23">
        <f>+VeredaTr1291621[[#This Row],[∑VeredaTr]]+VeredaTr1291621[[#This Row],[T2]]</f>
        <v>0.29097222222222213</v>
      </c>
      <c r="AL8" s="7">
        <v>5</v>
      </c>
      <c r="AM8" s="55">
        <f>VLOOKUP(AL8,_xlfn._xlws.SORT(VeredaTr1291621[[BUS]:[∑]],13,-1,FALSE),13,FALSE)</f>
        <v>0.5118055555555554</v>
      </c>
    </row>
    <row r="9" spans="1:39" x14ac:dyDescent="0.35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VLOOKUP(TrCeib1181520[[#This Row],[HORA]],'OFERTA (4)'!I:M,5,TRUE)</f>
        <v>4.8611111111111112E-3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-5.5555555555555913E-3</v>
      </c>
      <c r="I9" s="23"/>
      <c r="J9" s="23">
        <f t="shared" si="1"/>
        <v>0.25694444444444442</v>
      </c>
      <c r="K9" s="30">
        <f>(G9-C9)+TrCeib1181520[[#This Row],[Tt_tex]]</f>
        <v>4.2361111111111127E-2</v>
      </c>
      <c r="L9" s="30">
        <f>SUMIF(B$4:$B9,TrCeib1181520[[#This Row],[BUS]],$K$4:K9)</f>
        <v>4.2361111111111127E-2</v>
      </c>
      <c r="M9" s="23">
        <f>_xlfn.IFNA(VLOOKUP(TrCeib1181520[[#This Row],[BUS]],_xlfn._xlws.SORT(VeredaTr1291621[[BUS]:[T2]],11,-1,FALSE),11,FALSE),0)</f>
        <v>0.18402777777777776</v>
      </c>
      <c r="N9" s="23">
        <f>+TrCeib1181520[[#This Row],[∑TrCeib]]+TrCeib1181520[[#This Row],[T2]]</f>
        <v>0.22638888888888889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VLOOKUP(VeredaTr1291621[[#This Row],[HORA]],'OFERTA (4)'!B:F,5,TRUE)</f>
        <v>4.8611111111111112E-3</v>
      </c>
      <c r="W9" s="23">
        <f t="shared" si="8"/>
        <v>3.6805555555555557E-2</v>
      </c>
      <c r="X9" s="23">
        <f t="shared" si="9"/>
        <v>0.30486111111111108</v>
      </c>
      <c r="Y9" s="23">
        <f t="shared" si="10"/>
        <v>-5.5555555555555358E-3</v>
      </c>
      <c r="Z9" s="23"/>
      <c r="AA9" s="23">
        <f t="shared" si="3"/>
        <v>0.26250000000000001</v>
      </c>
      <c r="AB9" s="30">
        <f t="shared" si="4"/>
        <v>3.6805555555555536E-2</v>
      </c>
      <c r="AC9" s="30">
        <f>SUMIF($S$4:S9,S9,$AB$4:AB9)</f>
        <v>3.6805555555555536E-2</v>
      </c>
      <c r="AD9" s="23">
        <f>_xlfn.IFNA(VLOOKUP(VeredaTr1291621[[#This Row],[BUS]],_xlfn._xlws.SORT(TrCeib1181520[[BUS]:[T2]],11,-1,FALSE),11,FALSE),0)</f>
        <v>0.25416666666666654</v>
      </c>
      <c r="AE9" s="23">
        <f>+VeredaTr1291621[[#This Row],[∑VeredaTr]]+VeredaTr1291621[[#This Row],[T2]]</f>
        <v>0.29097222222222208</v>
      </c>
      <c r="AL9" s="7">
        <v>6</v>
      </c>
      <c r="AM9" s="55">
        <f>VLOOKUP(AL9,_xlfn._xlws.SORT(VeredaTr1291621[[BUS]:[∑]],13,-1,FALSE),13,FALSE)</f>
        <v>0.39583333333333326</v>
      </c>
    </row>
    <row r="10" spans="1:39" x14ac:dyDescent="0.35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VLOOKUP(TrCeib1181520[[#This Row],[HORA]],'OFERTA (4)'!I:M,5,TRUE)</f>
        <v>4.8611111111111112E-3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-5.5555555555555913E-3</v>
      </c>
      <c r="I10" s="23"/>
      <c r="J10" s="23">
        <f t="shared" si="1"/>
        <v>0.2673611111111111</v>
      </c>
      <c r="K10" s="30">
        <f>(G10-C10)+TrCeib1181520[[#This Row],[Tt_tex]]</f>
        <v>4.2361111111111127E-2</v>
      </c>
      <c r="L10" s="30">
        <f>SUMIF(B$4:$B10,TrCeib1181520[[#This Row],[BUS]],$K$4:K10)</f>
        <v>4.2361111111111127E-2</v>
      </c>
      <c r="M10" s="23">
        <f>_xlfn.IFNA(VLOOKUP(TrCeib1181520[[#This Row],[BUS]],_xlfn._xlws.SORT(VeredaTr1291621[[BUS]:[T2]],11,-1,FALSE),11,FALSE),0)</f>
        <v>0.22083333333333324</v>
      </c>
      <c r="N10" s="23">
        <f>+TrCeib1181520[[#This Row],[∑TrCeib]]+TrCeib1181520[[#This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VLOOKUP(VeredaTr1291621[[#This Row],[HORA]],'OFERTA (4)'!B:F,5,TRUE)</f>
        <v>4.8611111111111112E-3</v>
      </c>
      <c r="W10" s="23">
        <f t="shared" si="8"/>
        <v>3.6805555555555557E-2</v>
      </c>
      <c r="X10" s="23">
        <f t="shared" si="9"/>
        <v>0.31527777777777777</v>
      </c>
      <c r="Y10" s="23">
        <f t="shared" si="10"/>
        <v>-5.5555555555555913E-3</v>
      </c>
      <c r="Z10" s="23"/>
      <c r="AA10" s="23">
        <f t="shared" si="3"/>
        <v>0.27291666666666664</v>
      </c>
      <c r="AB10" s="30">
        <f t="shared" si="4"/>
        <v>3.6805555555555536E-2</v>
      </c>
      <c r="AC10" s="30">
        <f>SUMIF($S$4:S10,S10,$AB$4:AB10)</f>
        <v>3.6805555555555536E-2</v>
      </c>
      <c r="AD10" s="23">
        <f>_xlfn.IFNA(VLOOKUP(VeredaTr1291621[[#This Row],[BUS]],_xlfn._xlws.SORT(TrCeib1181520[[BUS]:[T2]],11,-1,FALSE),11,FALSE),0)</f>
        <v>0.2118055555555555</v>
      </c>
      <c r="AE10" s="23">
        <f>+VeredaTr1291621[[#This Row],[∑VeredaTr]]+VeredaTr1291621[[#This Row],[T2]]</f>
        <v>0.24861111111111103</v>
      </c>
      <c r="AL10" s="7">
        <v>7</v>
      </c>
      <c r="AM10" s="55">
        <f>VLOOKUP(AL10,_xlfn._xlws.SORT(VeredaTr1291621[[BUS]:[∑]],13,-1,FALSE),13,FALSE)</f>
        <v>0.47499999999999976</v>
      </c>
    </row>
    <row r="11" spans="1:39" x14ac:dyDescent="0.35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VLOOKUP(TrCeib1181520[[#This Row],[HORA]],'OFERTA (4)'!I:M,5,TRUE)</f>
        <v>4.8611111111111112E-3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-5.5555555555555358E-3</v>
      </c>
      <c r="I11" s="23"/>
      <c r="J11" s="23">
        <f t="shared" si="1"/>
        <v>0.27777777777777779</v>
      </c>
      <c r="K11" s="30">
        <f>(G11-C11)+TrCeib1181520[[#This Row],[Tt_tex]]</f>
        <v>4.2361111111111127E-2</v>
      </c>
      <c r="L11" s="30">
        <f>SUMIF(B$4:$B11,TrCeib1181520[[#This Row],[BUS]],$K$4:K11)</f>
        <v>4.2361111111111127E-2</v>
      </c>
      <c r="M11" s="23">
        <f>_xlfn.IFNA(VLOOKUP(TrCeib1181520[[#This Row],[BUS]],_xlfn._xlws.SORT(VeredaTr1291621[[BUS]:[T2]],11,-1,FALSE),11,FALSE),0)</f>
        <v>0.22083333333333321</v>
      </c>
      <c r="N11" s="23">
        <f>+TrCeib1181520[[#This Row],[∑TrCeib]]+TrCeib1181520[[#This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VLOOKUP(VeredaTr1291621[[#This Row],[HORA]],'OFERTA (4)'!B:F,5,TRUE)</f>
        <v>4.8611111111111112E-3</v>
      </c>
      <c r="W11" s="23">
        <f t="shared" si="8"/>
        <v>3.6805555555555557E-2</v>
      </c>
      <c r="X11" s="23">
        <f t="shared" si="9"/>
        <v>0.32569444444444445</v>
      </c>
      <c r="Y11" s="23">
        <f t="shared" si="10"/>
        <v>-5.5555555555555913E-3</v>
      </c>
      <c r="Z11" s="23"/>
      <c r="AA11" s="23">
        <f t="shared" si="3"/>
        <v>0.28333333333333333</v>
      </c>
      <c r="AB11" s="30">
        <f t="shared" si="4"/>
        <v>3.6805555555555536E-2</v>
      </c>
      <c r="AC11" s="30">
        <f>SUMIF($S$4:S11,S11,$AB$4:AB11)</f>
        <v>3.6805555555555536E-2</v>
      </c>
      <c r="AD11" s="23">
        <f>_xlfn.IFNA(VLOOKUP(VeredaTr1291621[[#This Row],[BUS]],_xlfn._xlws.SORT(TrCeib1181520[[BUS]:[T2]],11,-1,FALSE),11,FALSE),0)</f>
        <v>0.29513888888888884</v>
      </c>
      <c r="AE11" s="23">
        <f>+VeredaTr1291621[[#This Row],[∑VeredaTr]]+VeredaTr1291621[[#This Row],[T2]]</f>
        <v>0.33194444444444438</v>
      </c>
      <c r="AL11" s="7">
        <v>8</v>
      </c>
      <c r="AM11" s="55">
        <f>VLOOKUP(AL11,_xlfn._xlws.SORT(VeredaTr1291621[[BUS]:[∑]],13,-1,FALSE),13,FALSE)</f>
        <v>0.43263888888888868</v>
      </c>
    </row>
    <row r="12" spans="1:39" x14ac:dyDescent="0.35">
      <c r="B12" s="28">
        <v>1</v>
      </c>
      <c r="C12" s="23">
        <v>0.29444444444444445</v>
      </c>
      <c r="D12" s="23">
        <f t="shared" si="5"/>
        <v>1.1111111111111127E-2</v>
      </c>
      <c r="E12" s="23">
        <f>VLOOKUP(TrCeib1181520[[#This Row],[HORA]],'OFERTA (4)'!I:M,5,TRUE)</f>
        <v>4.8611111111111112E-3</v>
      </c>
      <c r="F12" s="23">
        <f t="shared" si="0"/>
        <v>4.2361111111111106E-2</v>
      </c>
      <c r="G12" s="23">
        <f t="shared" si="6"/>
        <v>0.33680555555555558</v>
      </c>
      <c r="H12" s="23">
        <f t="shared" si="7"/>
        <v>-6.2500000000000333E-3</v>
      </c>
      <c r="I12" s="23"/>
      <c r="J12" s="23">
        <f t="shared" si="1"/>
        <v>0.28819444444444442</v>
      </c>
      <c r="K12" s="30">
        <f>(G12-C12)+TrCeib1181520[[#This Row],[Tt_tex]]</f>
        <v>4.2361111111111127E-2</v>
      </c>
      <c r="L12" s="30">
        <f>SUMIF(B$4:$B12,TrCeib1181520[[#This Row],[BUS]],$K$4:K12)</f>
        <v>8.4722222222222254E-2</v>
      </c>
      <c r="M12" s="23">
        <f>_xlfn.IFNA(VLOOKUP(TrCeib1181520[[#This Row],[BUS]],_xlfn._xlws.SORT(VeredaTr1291621[[BUS]:[T2]],11,-1,FALSE),11,FALSE),0)</f>
        <v>0.22083333333333321</v>
      </c>
      <c r="N12" s="23">
        <f>+TrCeib1181520[[#This Row],[∑TrCeib]]+TrCeib1181520[[#This Row],[T2]]</f>
        <v>0.30555555555555547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VLOOKUP(VeredaTr1291621[[#This Row],[HORA]],'OFERTA (4)'!B:F,5,TRUE)</f>
        <v>4.8611111111111112E-3</v>
      </c>
      <c r="W12" s="23">
        <f t="shared" si="8"/>
        <v>3.6805555555555557E-2</v>
      </c>
      <c r="X12" s="23">
        <f t="shared" si="9"/>
        <v>0.33124999999999999</v>
      </c>
      <c r="Y12" s="23">
        <f t="shared" si="10"/>
        <v>-6.9444444444444198E-4</v>
      </c>
      <c r="Z12" s="23"/>
      <c r="AA12" s="23">
        <f t="shared" si="3"/>
        <v>0.29375000000000001</v>
      </c>
      <c r="AB12" s="30">
        <f t="shared" si="4"/>
        <v>3.6805555555555536E-2</v>
      </c>
      <c r="AC12" s="30">
        <f>SUMIF($S$4:S12,S12,$AB$4:AB12)</f>
        <v>7.3611111111111072E-2</v>
      </c>
      <c r="AD12" s="23">
        <f>_xlfn.IFNA(VLOOKUP(VeredaTr1291621[[#This Row],[BUS]],_xlfn._xlws.SORT(TrCeib1181520[[BUS]:[T2]],11,-1,FALSE),11,FALSE),0)</f>
        <v>0.25416666666666665</v>
      </c>
      <c r="AE12" s="23">
        <f>+VeredaTr1291621[[#This Row],[∑VeredaTr]]+VeredaTr1291621[[#This Row],[T2]]</f>
        <v>0.32777777777777772</v>
      </c>
      <c r="AL12" s="7">
        <v>9</v>
      </c>
      <c r="AM12" s="55">
        <f>VLOOKUP(AL12,_xlfn._xlws.SORT(VeredaTr1291621[[BUS]:[∑]],13,-1,FALSE),13,FALSE)</f>
        <v>0.31666666666666654</v>
      </c>
    </row>
    <row r="13" spans="1:39" x14ac:dyDescent="0.35">
      <c r="B13" s="28">
        <v>2</v>
      </c>
      <c r="C13" s="23">
        <v>0.30486111111111108</v>
      </c>
      <c r="D13" s="23">
        <f t="shared" si="5"/>
        <v>1.041666666666663E-2</v>
      </c>
      <c r="E13" s="23">
        <f>VLOOKUP(TrCeib1181520[[#This Row],[HORA]],'OFERTA (4)'!I:M,5,TRUE)</f>
        <v>4.8611111111111112E-3</v>
      </c>
      <c r="F13" s="23">
        <f t="shared" si="0"/>
        <v>4.2361111111111106E-2</v>
      </c>
      <c r="G13" s="23">
        <f t="shared" si="6"/>
        <v>0.34722222222222221</v>
      </c>
      <c r="H13" s="23">
        <f t="shared" si="7"/>
        <v>-5.5555555555555358E-3</v>
      </c>
      <c r="I13" s="23"/>
      <c r="J13" s="23">
        <f t="shared" si="1"/>
        <v>0.29930555555555555</v>
      </c>
      <c r="K13" s="30">
        <f>(G13-C13)+TrCeib1181520[[#This Row],[Tt_tex]]</f>
        <v>4.2361111111111127E-2</v>
      </c>
      <c r="L13" s="30">
        <f>SUMIF(B$4:$B13,TrCeib1181520[[#This Row],[BUS]],$K$4:K13)</f>
        <v>8.4722222222222227E-2</v>
      </c>
      <c r="M13" s="23">
        <f>_xlfn.IFNA(VLOOKUP(TrCeib1181520[[#This Row],[BUS]],_xlfn._xlws.SORT(VeredaTr1291621[[BUS]:[T2]],11,-1,FALSE),11,FALSE),0)</f>
        <v>0.22083333333333321</v>
      </c>
      <c r="N13" s="23">
        <f>+TrCeib1181520[[#This Row],[∑TrCeib]]+TrCeib1181520[[#This Row],[T2]]</f>
        <v>0.30555555555555547</v>
      </c>
      <c r="O13" s="23"/>
      <c r="P13" s="22"/>
      <c r="Q13" s="22"/>
      <c r="R13" s="22" t="s">
        <v>63</v>
      </c>
      <c r="S13" s="28">
        <v>9</v>
      </c>
      <c r="T13" s="23">
        <v>0.3</v>
      </c>
      <c r="U13" s="23">
        <f t="shared" si="2"/>
        <v>5.5555555555555358E-3</v>
      </c>
      <c r="V13" s="23">
        <f>VLOOKUP(VeredaTr1291621[[#This Row],[HORA]],'OFERTA (4)'!B:F,5,TRUE)</f>
        <v>4.8611111111111112E-3</v>
      </c>
      <c r="W13" s="23">
        <f t="shared" si="8"/>
        <v>3.6805555555555557E-2</v>
      </c>
      <c r="X13" s="23">
        <f t="shared" si="9"/>
        <v>0.33680555555555552</v>
      </c>
      <c r="Y13" s="23">
        <f t="shared" si="10"/>
        <v>-6.9444444444444198E-4</v>
      </c>
      <c r="Z13" s="23"/>
      <c r="AA13" s="23">
        <f>+T13+Y13</f>
        <v>0.29930555555555555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_xlfn.IFNA(VLOOKUP(VeredaTr1291621[[#This Row],[BUS]],_xlfn._xlws.SORT(TrCeib1181520[[BUS]:[T2]],11,-1,FALSE),11,FALSE),0)</f>
        <v>0.1694444444444444</v>
      </c>
      <c r="AE13" s="23">
        <f>+VeredaTr1291621[[#This Row],[∑VeredaTr]]+VeredaTr1291621[[#This Row],[T2]]</f>
        <v>0.20624999999999993</v>
      </c>
      <c r="AL13" s="7">
        <v>10</v>
      </c>
      <c r="AM13" s="55">
        <f>VLOOKUP(AL13,_xlfn._xlws.SORT(VeredaTr1291621[[BUS]:[∑]],13,-1,FALSE),13,FALSE)</f>
        <v>0.31666666666666654</v>
      </c>
    </row>
    <row r="14" spans="1:39" x14ac:dyDescent="0.35">
      <c r="B14" s="28">
        <v>3</v>
      </c>
      <c r="C14" s="23">
        <v>0.31527777777777777</v>
      </c>
      <c r="D14" s="23">
        <f t="shared" si="5"/>
        <v>1.0416666666666685E-2</v>
      </c>
      <c r="E14" s="23">
        <f>VLOOKUP(TrCeib1181520[[#This Row],[HORA]],'OFERTA (4)'!I:M,5,TRUE)</f>
        <v>4.8611111111111112E-3</v>
      </c>
      <c r="F14" s="23">
        <f t="shared" si="0"/>
        <v>4.2361111111111106E-2</v>
      </c>
      <c r="G14" s="23">
        <f t="shared" si="6"/>
        <v>0.3576388888888889</v>
      </c>
      <c r="H14" s="23">
        <f t="shared" si="7"/>
        <v>-5.5555555555555913E-3</v>
      </c>
      <c r="I14" s="23"/>
      <c r="J14" s="23">
        <f t="shared" si="1"/>
        <v>0.30972222222222218</v>
      </c>
      <c r="K14" s="30">
        <f>(G14-C14)+TrCeib1181520[[#This Row],[Tt_tex]]</f>
        <v>4.2361111111111127E-2</v>
      </c>
      <c r="L14" s="30">
        <f>SUMIF(B$4:$B14,TrCeib1181520[[#This Row],[BUS]],$K$4:K14)</f>
        <v>8.4722222222222227E-2</v>
      </c>
      <c r="M14" s="23">
        <f>_xlfn.IFNA(VLOOKUP(TrCeib1181520[[#This Row],[BUS]],_xlfn._xlws.SORT(VeredaTr1291621[[BUS]:[T2]],11,-1,FALSE),11,FALSE),0)</f>
        <v>0.18402777777777768</v>
      </c>
      <c r="N14" s="23">
        <f>+TrCeib1181520[[#This Row],[∑TrCeib]]+TrCeib1181520[[#This Row],[T2]]</f>
        <v>0.26874999999999993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2"/>
        <v>4.8611111111111494E-3</v>
      </c>
      <c r="V14" s="23">
        <f>VLOOKUP(VeredaTr1291621[[#This Row],[HORA]],'OFERTA (4)'!B:F,5,TRUE)</f>
        <v>4.8611111111111112E-3</v>
      </c>
      <c r="W14" s="23">
        <f t="shared" si="8"/>
        <v>3.6805555555555557E-2</v>
      </c>
      <c r="X14" s="23">
        <f t="shared" si="9"/>
        <v>0.34166666666666667</v>
      </c>
      <c r="Y14" s="23">
        <f t="shared" si="10"/>
        <v>0</v>
      </c>
      <c r="Z14" s="23"/>
      <c r="AA14" s="23">
        <f>+T14+Y14</f>
        <v>0.30486111111111114</v>
      </c>
      <c r="AB14" s="30">
        <f>(X14-T14)</f>
        <v>3.6805555555555536E-2</v>
      </c>
      <c r="AC14" s="30">
        <f>SUMIF($S$4:S14,S14,$AB$4:AB14)</f>
        <v>7.3611111111111099E-2</v>
      </c>
      <c r="AD14" s="23">
        <f>_xlfn.IFNA(VLOOKUP(VeredaTr1291621[[#This Row],[BUS]],_xlfn._xlws.SORT(TrCeib1181520[[BUS]:[T2]],11,-1,FALSE),11,FALSE),0)</f>
        <v>0.21180555555555552</v>
      </c>
      <c r="AE14" s="23">
        <f>+VeredaTr1291621[[#This Row],[∑VeredaTr]]+VeredaTr1291621[[#This Row],[T2]]</f>
        <v>0.28541666666666665</v>
      </c>
      <c r="AL14" s="7">
        <v>11</v>
      </c>
      <c r="AM14" s="55">
        <f>VLOOKUP(AL14,_xlfn._xlws.SORT(VeredaTr1291621[[BUS]:[∑]],13,-1,FALSE),13,FALSE)</f>
        <v>0.47499999999999976</v>
      </c>
    </row>
    <row r="15" spans="1:39" x14ac:dyDescent="0.35">
      <c r="B15" s="28">
        <v>4</v>
      </c>
      <c r="C15" s="23">
        <v>0.32569444444444445</v>
      </c>
      <c r="D15" s="23">
        <f t="shared" si="5"/>
        <v>1.0416666666666685E-2</v>
      </c>
      <c r="E15" s="23">
        <f>VLOOKUP(TrCeib1181520[[#This Row],[HORA]],'OFERTA (4)'!I:M,5,TRUE)</f>
        <v>4.8611111111111112E-3</v>
      </c>
      <c r="F15" s="23">
        <f t="shared" si="0"/>
        <v>4.2361111111111106E-2</v>
      </c>
      <c r="G15" s="23">
        <f t="shared" si="6"/>
        <v>0.36805555555555558</v>
      </c>
      <c r="H15" s="23">
        <f t="shared" si="7"/>
        <v>-5.5555555555555913E-3</v>
      </c>
      <c r="I15" s="23"/>
      <c r="J15" s="23">
        <f t="shared" si="1"/>
        <v>0.32013888888888886</v>
      </c>
      <c r="K15" s="30">
        <f>(G15-C15)+TrCeib1181520[[#This Row],[Tt_tex]]</f>
        <v>4.2361111111111127E-2</v>
      </c>
      <c r="L15" s="30">
        <f>SUMIF(B$4:$B15,TrCeib1181520[[#This Row],[BUS]],$K$4:K15)</f>
        <v>8.4722222222222254E-2</v>
      </c>
      <c r="M15" s="23">
        <f>_xlfn.IFNA(VLOOKUP(TrCeib1181520[[#This Row],[BUS]],_xlfn._xlws.SORT(VeredaTr1291621[[BUS]:[T2]],11,-1,FALSE),11,FALSE),0)</f>
        <v>0.22083333333333321</v>
      </c>
      <c r="N15" s="23">
        <f>+TrCeib1181520[[#This Row],[∑TrCeib]]+TrCeib1181520[[#This Row],[T2]]</f>
        <v>0.30555555555555547</v>
      </c>
      <c r="O15" s="23"/>
      <c r="P15" s="22"/>
      <c r="Q15" s="22"/>
      <c r="R15" s="22" t="s">
        <v>63</v>
      </c>
      <c r="S15" s="28">
        <v>10</v>
      </c>
      <c r="T15" s="23">
        <v>0.31041666666666667</v>
      </c>
      <c r="U15" s="23">
        <f t="shared" si="2"/>
        <v>5.5555555555555358E-3</v>
      </c>
      <c r="V15" s="23">
        <f>VLOOKUP(VeredaTr1291621[[#This Row],[HORA]],'OFERTA (4)'!B:F,5,TRUE)</f>
        <v>4.8611111111111112E-3</v>
      </c>
      <c r="W15" s="23">
        <f t="shared" si="8"/>
        <v>3.6805555555555557E-2</v>
      </c>
      <c r="X15" s="23">
        <f t="shared" si="9"/>
        <v>0.34722222222222221</v>
      </c>
      <c r="Y15" s="23">
        <f t="shared" si="10"/>
        <v>-6.9444444444444198E-4</v>
      </c>
      <c r="Z15" s="23"/>
      <c r="AA15" s="23">
        <f>+T15+Y15</f>
        <v>0.30972222222222223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_xlfn.IFNA(VLOOKUP(VeredaTr1291621[[#This Row],[BUS]],_xlfn._xlws.SORT(TrCeib1181520[[BUS]:[T2]],11,-1,FALSE),11,FALSE),0)</f>
        <v>0.1694444444444444</v>
      </c>
      <c r="AE15" s="23">
        <f>+VeredaTr1291621[[#This Row],[∑VeredaTr]]+VeredaTr1291621[[#This Row],[T2]]</f>
        <v>0.20624999999999993</v>
      </c>
      <c r="AL15" s="7">
        <v>12</v>
      </c>
      <c r="AM15" s="55">
        <f>VLOOKUP(AL15,_xlfn._xlws.SORT(VeredaTr1291621[[BUS]:[∑]],13,-1,FALSE),13,FALSE)</f>
        <v>0.31666666666666654</v>
      </c>
    </row>
    <row r="16" spans="1:39" x14ac:dyDescent="0.35">
      <c r="B16" s="28">
        <v>5</v>
      </c>
      <c r="C16" s="23">
        <v>0.33124999999999999</v>
      </c>
      <c r="D16" s="23">
        <f t="shared" si="5"/>
        <v>5.5555555555555358E-3</v>
      </c>
      <c r="E16" s="23">
        <f>VLOOKUP(TrCeib1181520[[#This Row],[HORA]],'OFERTA (4)'!I:M,5,TRUE)</f>
        <v>4.8611111111111112E-3</v>
      </c>
      <c r="F16" s="23">
        <f t="shared" si="0"/>
        <v>4.2361111111111106E-2</v>
      </c>
      <c r="G16" s="23">
        <f t="shared" si="6"/>
        <v>0.37361111111111112</v>
      </c>
      <c r="H16" s="23">
        <f t="shared" si="7"/>
        <v>-6.9444444444444198E-4</v>
      </c>
      <c r="I16" s="23"/>
      <c r="J16" s="23">
        <f t="shared" si="1"/>
        <v>0.33055555555555555</v>
      </c>
      <c r="K16" s="30">
        <f>(G16-C16)+TrCeib1181520[[#This Row],[Tt_tex]]</f>
        <v>4.2361111111111127E-2</v>
      </c>
      <c r="L16" s="30">
        <f>SUMIF(B$4:$B16,TrCeib1181520[[#This Row],[BUS]],$K$4:K16)</f>
        <v>8.4722222222222254E-2</v>
      </c>
      <c r="M16" s="23">
        <f>_xlfn.IFNA(VLOOKUP(TrCeib1181520[[#This Row],[BUS]],_xlfn._xlws.SORT(VeredaTr1291621[[BUS]:[T2]],11,-1,FALSE),11,FALSE),0)</f>
        <v>0.25763888888888875</v>
      </c>
      <c r="N16" s="23">
        <f>+TrCeib1181520[[#This Row],[∑TrCeib]]+TrCeib1181520[[#This Row],[T2]]</f>
        <v>0.34236111111111101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2"/>
        <v>4.8611111111111494E-3</v>
      </c>
      <c r="V16" s="23">
        <f>VLOOKUP(VeredaTr1291621[[#This Row],[HORA]],'OFERTA (4)'!B:F,5,TRUE)</f>
        <v>4.8611111111111112E-3</v>
      </c>
      <c r="W16" s="23">
        <f t="shared" si="8"/>
        <v>3.6805555555555557E-2</v>
      </c>
      <c r="X16" s="23">
        <f t="shared" si="9"/>
        <v>0.35208333333333336</v>
      </c>
      <c r="Y16" s="23">
        <f t="shared" si="10"/>
        <v>0</v>
      </c>
      <c r="Z16" s="23"/>
      <c r="AA16" s="23">
        <f t="shared" si="3"/>
        <v>0.31527777777777782</v>
      </c>
      <c r="AB16" s="30">
        <f t="shared" si="4"/>
        <v>3.6805555555555536E-2</v>
      </c>
      <c r="AC16" s="30">
        <f>SUMIF($S$4:S16,S16,$AB$4:AB16)</f>
        <v>7.3611111111111099E-2</v>
      </c>
      <c r="AD16" s="23">
        <f>_xlfn.IFNA(VLOOKUP(VeredaTr1291621[[#This Row],[BUS]],_xlfn._xlws.SORT(TrCeib1181520[[BUS]:[T2]],11,-1,FALSE),11,FALSE),0)</f>
        <v>0.25416666666666654</v>
      </c>
      <c r="AE16" s="23">
        <f>+VeredaTr1291621[[#This Row],[∑VeredaTr]]+VeredaTr1291621[[#This Row],[T2]]</f>
        <v>0.32777777777777761</v>
      </c>
      <c r="AL16" s="7">
        <v>13</v>
      </c>
      <c r="AM16" s="55">
        <f>VLOOKUP(AL16,_xlfn._xlws.SORT(VeredaTr1291621[[BUS]:[∑]],13,-1,FALSE),13,FALSE)</f>
        <v>0.47499999999999976</v>
      </c>
    </row>
    <row r="17" spans="1:39" x14ac:dyDescent="0.35">
      <c r="B17" s="28">
        <v>9</v>
      </c>
      <c r="C17" s="23">
        <v>0.33680555555555552</v>
      </c>
      <c r="D17" s="23">
        <f t="shared" si="5"/>
        <v>5.5555555555555358E-3</v>
      </c>
      <c r="E17" s="23">
        <f>VLOOKUP(TrCeib1181520[[#This Row],[HORA]],'OFERTA (4)'!I:M,5,TRUE)</f>
        <v>4.8611111111111112E-3</v>
      </c>
      <c r="F17" s="23">
        <f t="shared" si="0"/>
        <v>4.2361111111111106E-2</v>
      </c>
      <c r="G17" s="23">
        <f t="shared" si="6"/>
        <v>0.37916666666666665</v>
      </c>
      <c r="H17" s="23">
        <f t="shared" si="7"/>
        <v>-6.9444444444444198E-4</v>
      </c>
      <c r="I17" s="23"/>
      <c r="J17" s="23">
        <f t="shared" si="1"/>
        <v>0.33611111111111108</v>
      </c>
      <c r="K17" s="30">
        <f>(G17-C17)+TrCeib1181520[[#This Row],[Tt_tex]]</f>
        <v>4.2361111111111127E-2</v>
      </c>
      <c r="L17" s="30">
        <f>SUMIF(B$4:$B17,TrCeib1181520[[#This Row],[BUS]],$K$4:K17)</f>
        <v>4.2361111111111127E-2</v>
      </c>
      <c r="M17" s="23">
        <f>_xlfn.IFNA(VLOOKUP(TrCeib1181520[[#This Row],[BUS]],_xlfn._xlws.SORT(VeredaTr1291621[[BUS]:[T2]],11,-1,FALSE),11,FALSE),0)</f>
        <v>0.14722222222222214</v>
      </c>
      <c r="N17" s="23">
        <f>+TrCeib1181520[[#This Row],[∑TrCeib]]+TrCeib1181520[[#This Row],[T2]]</f>
        <v>0.18958333333333327</v>
      </c>
      <c r="O17" s="23"/>
      <c r="P17" s="22"/>
      <c r="Q17" s="22"/>
      <c r="R17" s="22" t="s">
        <v>63</v>
      </c>
      <c r="S17" s="28">
        <v>11</v>
      </c>
      <c r="T17" s="23">
        <v>0.32083333333333336</v>
      </c>
      <c r="U17" s="23">
        <f t="shared" si="2"/>
        <v>5.5555555555555358E-3</v>
      </c>
      <c r="V17" s="23">
        <f>VLOOKUP(VeredaTr1291621[[#This Row],[HORA]],'OFERTA (4)'!B:F,5,TRUE)</f>
        <v>4.8611111111111112E-3</v>
      </c>
      <c r="W17" s="23">
        <f t="shared" si="8"/>
        <v>3.6805555555555557E-2</v>
      </c>
      <c r="X17" s="23">
        <f t="shared" si="9"/>
        <v>0.3576388888888889</v>
      </c>
      <c r="Y17" s="23">
        <f t="shared" si="10"/>
        <v>-6.9444444444444198E-4</v>
      </c>
      <c r="Z17" s="23"/>
      <c r="AA17" s="23">
        <f>+T17+Y17</f>
        <v>0.32013888888888892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_xlfn.IFNA(VLOOKUP(VeredaTr1291621[[#This Row],[BUS]],_xlfn._xlws.SORT(TrCeib1181520[[BUS]:[T2]],11,-1,FALSE),11,FALSE),0)</f>
        <v>0.25416666666666654</v>
      </c>
      <c r="AE17" s="23">
        <f>+VeredaTr1291621[[#This Row],[∑VeredaTr]]+VeredaTr1291621[[#This Row],[T2]]</f>
        <v>0.29097222222222208</v>
      </c>
      <c r="AL17" s="7">
        <v>14</v>
      </c>
      <c r="AM17" s="55">
        <f>VLOOKUP(AL17,_xlfn._xlws.SORT(VeredaTr1291621[[BUS]:[∑]],13,-1,FALSE),13,FALSE)</f>
        <v>0.35347222222222202</v>
      </c>
    </row>
    <row r="18" spans="1:39" x14ac:dyDescent="0.35">
      <c r="B18" s="28">
        <v>6</v>
      </c>
      <c r="C18" s="23">
        <v>0.34166666666666667</v>
      </c>
      <c r="D18" s="23">
        <f t="shared" si="5"/>
        <v>4.8611111111111494E-3</v>
      </c>
      <c r="E18" s="23">
        <f>VLOOKUP(TrCeib1181520[[#This Row],[HORA]],'OFERTA (4)'!I:M,5,TRUE)</f>
        <v>4.8611111111111112E-3</v>
      </c>
      <c r="F18" s="23">
        <f t="shared" si="0"/>
        <v>4.2361111111111106E-2</v>
      </c>
      <c r="G18" s="23">
        <f t="shared" si="6"/>
        <v>0.3840277777777778</v>
      </c>
      <c r="H18" s="23">
        <f t="shared" si="7"/>
        <v>0</v>
      </c>
      <c r="I18" s="23"/>
      <c r="J18" s="23">
        <f t="shared" si="1"/>
        <v>0.34166666666666667</v>
      </c>
      <c r="K18" s="30">
        <f>(G18-C18)+TrCeib1181520[[#This Row],[Tt_tex]]</f>
        <v>4.2361111111111127E-2</v>
      </c>
      <c r="L18" s="30">
        <f>SUMIF(B$4:$B18,TrCeib1181520[[#This Row],[BUS]],$K$4:K18)</f>
        <v>8.4722222222222254E-2</v>
      </c>
      <c r="M18" s="23">
        <f>_xlfn.IFNA(VLOOKUP(TrCeib1181520[[#This Row],[BUS]],_xlfn._xlws.SORT(VeredaTr1291621[[BUS]:[T2]],11,-1,FALSE),11,FALSE),0)</f>
        <v>0.18402777777777776</v>
      </c>
      <c r="N18" s="23">
        <f>+TrCeib1181520[[#This Row],[∑TrCeib]]+TrCeib1181520[[#This Row],[T2]]</f>
        <v>0.26875000000000004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"/>
        <v>4.8611111111110938E-3</v>
      </c>
      <c r="V18" s="23">
        <f>VLOOKUP(VeredaTr1291621[[#This Row],[HORA]],'OFERTA (4)'!B:F,5,TRUE)</f>
        <v>4.8611111111111112E-3</v>
      </c>
      <c r="W18" s="23">
        <f t="shared" si="8"/>
        <v>3.6805555555555557E-2</v>
      </c>
      <c r="X18" s="23">
        <f t="shared" si="9"/>
        <v>0.36249999999999999</v>
      </c>
      <c r="Y18" s="23">
        <f t="shared" si="10"/>
        <v>0</v>
      </c>
      <c r="Z18" s="23"/>
      <c r="AA18" s="23">
        <f>+T18+Y18</f>
        <v>0.32569444444444445</v>
      </c>
      <c r="AB18" s="30">
        <f>(X18-T18)</f>
        <v>3.6805555555555536E-2</v>
      </c>
      <c r="AC18" s="30">
        <f>SUMIF($S$4:S18,S18,$AB$4:AB18)</f>
        <v>7.3611111111111072E-2</v>
      </c>
      <c r="AD18" s="23">
        <f>_xlfn.IFNA(VLOOKUP(VeredaTr1291621[[#This Row],[BUS]],_xlfn._xlws.SORT(TrCeib1181520[[BUS]:[T2]],11,-1,FALSE),11,FALSE),0)</f>
        <v>0.21180555555555547</v>
      </c>
      <c r="AE18" s="23">
        <f>+VeredaTr1291621[[#This Row],[∑VeredaTr]]+VeredaTr1291621[[#This Row],[T2]]</f>
        <v>0.28541666666666654</v>
      </c>
      <c r="AL18" s="7">
        <v>15</v>
      </c>
      <c r="AM18" s="55">
        <f>VLOOKUP(AL18,_xlfn._xlws.SORT(VeredaTr1291621[[BUS]:[∑]],13,-1,FALSE),13,FALSE)</f>
        <v>0.35347222222222202</v>
      </c>
    </row>
    <row r="19" spans="1:39" x14ac:dyDescent="0.35">
      <c r="B19" s="28">
        <v>10</v>
      </c>
      <c r="C19" s="23">
        <v>0.34722222222222221</v>
      </c>
      <c r="D19" s="23">
        <f t="shared" si="5"/>
        <v>5.5555555555555358E-3</v>
      </c>
      <c r="E19" s="23">
        <f>VLOOKUP(TrCeib1181520[[#This Row],[HORA]],'OFERTA (4)'!I:M,5,TRUE)</f>
        <v>4.8611111111111112E-3</v>
      </c>
      <c r="F19" s="23">
        <f t="shared" si="0"/>
        <v>4.2361111111111106E-2</v>
      </c>
      <c r="G19" s="23">
        <f t="shared" si="6"/>
        <v>0.38958333333333334</v>
      </c>
      <c r="H19" s="23">
        <f t="shared" si="7"/>
        <v>-6.9444444444444198E-4</v>
      </c>
      <c r="I19" s="23"/>
      <c r="J19" s="23">
        <f t="shared" si="1"/>
        <v>0.34652777777777777</v>
      </c>
      <c r="K19" s="30">
        <f>(G19-C19)+TrCeib1181520[[#This Row],[Tt_tex]]</f>
        <v>4.2361111111111127E-2</v>
      </c>
      <c r="L19" s="30">
        <f>SUMIF(B$4:$B19,TrCeib1181520[[#This Row],[BUS]],$K$4:K19)</f>
        <v>4.2361111111111127E-2</v>
      </c>
      <c r="M19" s="23">
        <f>_xlfn.IFNA(VLOOKUP(TrCeib1181520[[#This Row],[BUS]],_xlfn._xlws.SORT(VeredaTr1291621[[BUS]:[T2]],11,-1,FALSE),11,FALSE),0)</f>
        <v>0.14722222222222214</v>
      </c>
      <c r="N19" s="23">
        <f>+TrCeib1181520[[#This Row],[∑TrCeib]]+TrCeib1181520[[#This Row],[T2]]</f>
        <v>0.18958333333333327</v>
      </c>
      <c r="O19" s="23"/>
      <c r="P19" s="40"/>
      <c r="Q19"/>
      <c r="R19" s="22" t="s">
        <v>63</v>
      </c>
      <c r="S19" s="28">
        <v>12</v>
      </c>
      <c r="T19" s="23">
        <v>0.33124999999999999</v>
      </c>
      <c r="U19" s="23">
        <f t="shared" si="2"/>
        <v>5.5555555555555358E-3</v>
      </c>
      <c r="V19" s="23">
        <f>VLOOKUP(VeredaTr1291621[[#This Row],[HORA]],'OFERTA (4)'!B:F,5,TRUE)</f>
        <v>4.8611111111111112E-3</v>
      </c>
      <c r="W19" s="23">
        <f t="shared" si="8"/>
        <v>3.6805555555555557E-2</v>
      </c>
      <c r="X19" s="23">
        <f t="shared" si="9"/>
        <v>0.36805555555555552</v>
      </c>
      <c r="Y19" s="23">
        <f t="shared" si="10"/>
        <v>-6.9444444444444198E-4</v>
      </c>
      <c r="Z19" s="23"/>
      <c r="AA19" s="23">
        <f>+T19+Y19</f>
        <v>0.33055555555555555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_xlfn.IFNA(VLOOKUP(VeredaTr1291621[[#This Row],[BUS]],_xlfn._xlws.SORT(TrCeib1181520[[BUS]:[T2]],11,-1,FALSE),11,FALSE),0)</f>
        <v>0.1694444444444444</v>
      </c>
      <c r="AE19" s="23">
        <f>+VeredaTr1291621[[#This Row],[∑VeredaTr]]+VeredaTr1291621[[#This Row],[T2]]</f>
        <v>0.20624999999999993</v>
      </c>
      <c r="AL19" s="7">
        <v>16</v>
      </c>
      <c r="AM19" s="55">
        <f>VLOOKUP(AL19,_xlfn._xlws.SORT(VeredaTr1291621[[BUS]:[∑]],13,-1,FALSE),13,FALSE)</f>
        <v>0.27847222222222201</v>
      </c>
    </row>
    <row r="20" spans="1:39" x14ac:dyDescent="0.35">
      <c r="A20" t="s">
        <v>70</v>
      </c>
      <c r="B20" s="28">
        <v>7</v>
      </c>
      <c r="C20" s="23">
        <v>0.35208333333333336</v>
      </c>
      <c r="D20" s="23">
        <f t="shared" si="5"/>
        <v>4.8611111111111494E-3</v>
      </c>
      <c r="E20" s="23">
        <f>VLOOKUP(TrCeib1181520[[#This Row],[HORA]],'OFERTA (4)'!I:M,5,TRUE)</f>
        <v>4.8611111111111112E-3</v>
      </c>
      <c r="F20" s="23">
        <f t="shared" si="0"/>
        <v>4.2361111111111106E-2</v>
      </c>
      <c r="G20" s="23">
        <f t="shared" si="6"/>
        <v>0.39444444444444449</v>
      </c>
      <c r="H20" s="23">
        <f t="shared" si="7"/>
        <v>0</v>
      </c>
      <c r="I20" s="23"/>
      <c r="J20" s="23">
        <f t="shared" si="1"/>
        <v>0.35208333333333336</v>
      </c>
      <c r="K20" s="30">
        <f>(G20-C20)+TrCeib1181520[[#This Row],[Tt_tex]]</f>
        <v>4.2361111111111127E-2</v>
      </c>
      <c r="L20" s="30">
        <f>SUMIF(B$4:$B20,TrCeib1181520[[#This Row],[BUS]],$K$4:K20)</f>
        <v>8.4722222222222254E-2</v>
      </c>
      <c r="M20" s="23">
        <f>_xlfn.IFNA(VLOOKUP(TrCeib1181520[[#This Row],[BUS]],_xlfn._xlws.SORT(VeredaTr1291621[[BUS]:[T2]],11,-1,FALSE),11,FALSE),0)</f>
        <v>0.22083333333333324</v>
      </c>
      <c r="N20" s="23">
        <f>+TrCeib1181520[[#This Row],[∑TrCeib]]+TrCeib1181520[[#This Row],[T2]]</f>
        <v>0.30555555555555547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si="2"/>
        <v>5.5555555555555913E-3</v>
      </c>
      <c r="V20" s="23">
        <f>VLOOKUP(VeredaTr1291621[[#This Row],[HORA]],'OFERTA (4)'!B:F,5,TRUE)</f>
        <v>4.8611111111111112E-3</v>
      </c>
      <c r="W20" s="23">
        <f t="shared" si="8"/>
        <v>3.6805555555555557E-2</v>
      </c>
      <c r="X20" s="23">
        <f t="shared" si="9"/>
        <v>0.37361111111111112</v>
      </c>
      <c r="Y20" s="23">
        <f t="shared" si="10"/>
        <v>-6.9444444444449749E-4</v>
      </c>
      <c r="Z20" s="23"/>
      <c r="AA20" s="23">
        <f t="shared" si="3"/>
        <v>0.33611111111111108</v>
      </c>
      <c r="AB20" s="30">
        <f t="shared" si="4"/>
        <v>3.6805555555555536E-2</v>
      </c>
      <c r="AC20" s="30">
        <f>SUMIF($S$4:S20,S20,$AB$4:AB20)</f>
        <v>7.3611111111111072E-2</v>
      </c>
      <c r="AD20" s="23">
        <f>_xlfn.IFNA(VLOOKUP(VeredaTr1291621[[#This Row],[BUS]],_xlfn._xlws.SORT(TrCeib1181520[[BUS]:[T2]],11,-1,FALSE),11,FALSE),0)</f>
        <v>0.2541666666666666</v>
      </c>
      <c r="AE20" s="23">
        <f>+VeredaTr1291621[[#This Row],[∑VeredaTr]]+VeredaTr1291621[[#This Row],[T2]]</f>
        <v>0.32777777777777767</v>
      </c>
      <c r="AL20" s="7">
        <v>17</v>
      </c>
      <c r="AM20" s="55">
        <f>VLOOKUP(AL20,_xlfn._xlws.SORT(VeredaTr1291621[[BUS]:[∑]],13,-1,FALSE),13,FALSE)</f>
        <v>0.27847222222222201</v>
      </c>
    </row>
    <row r="21" spans="1:39" x14ac:dyDescent="0.35">
      <c r="B21" s="28">
        <v>11</v>
      </c>
      <c r="C21" s="23">
        <v>0.3576388888888889</v>
      </c>
      <c r="D21" s="23">
        <f t="shared" si="5"/>
        <v>5.5555555555555358E-3</v>
      </c>
      <c r="E21" s="23">
        <f>VLOOKUP(TrCeib1181520[[#This Row],[HORA]],'OFERTA (4)'!I:M,5,TRUE)</f>
        <v>4.8611111111111112E-3</v>
      </c>
      <c r="F21" s="23">
        <f t="shared" si="0"/>
        <v>4.2361111111111106E-2</v>
      </c>
      <c r="G21" s="23">
        <f t="shared" si="6"/>
        <v>0.4</v>
      </c>
      <c r="H21" s="23">
        <f t="shared" si="7"/>
        <v>-6.9444444444444198E-4</v>
      </c>
      <c r="I21" s="23"/>
      <c r="J21" s="23">
        <f t="shared" si="1"/>
        <v>0.35694444444444445</v>
      </c>
      <c r="K21" s="30">
        <f>(G21-C21)+TrCeib1181520[[#This Row],[Tt_tex]]</f>
        <v>4.2361111111111127E-2</v>
      </c>
      <c r="L21" s="30">
        <f>SUMIF(B$4:$B21,TrCeib1181520[[#This Row],[BUS]],$K$4:K21)</f>
        <v>4.2361111111111127E-2</v>
      </c>
      <c r="M21" s="23">
        <f>_xlfn.IFNA(VLOOKUP(TrCeib1181520[[#This Row],[BUS]],_xlfn._xlws.SORT(VeredaTr1291621[[BUS]:[T2]],11,-1,FALSE),11,FALSE),0)</f>
        <v>0.22083333333333321</v>
      </c>
      <c r="N21" s="23">
        <f>+TrCeib1181520[[#This Row],[∑TrCeib]]+TrCeib1181520[[#This Row],[T2]]</f>
        <v>0.26319444444444434</v>
      </c>
      <c r="O21" s="23"/>
      <c r="P21" s="40"/>
      <c r="Q21" s="22"/>
      <c r="R21" s="22" t="s">
        <v>63</v>
      </c>
      <c r="S21" s="28">
        <v>13</v>
      </c>
      <c r="T21" s="23">
        <v>0.34236111111111112</v>
      </c>
      <c r="U21" s="23">
        <f t="shared" si="2"/>
        <v>5.5555555555555358E-3</v>
      </c>
      <c r="V21" s="23">
        <f>VLOOKUP(VeredaTr1291621[[#This Row],[HORA]],'OFERTA (4)'!B:F,5,TRUE)</f>
        <v>4.8611111111111112E-3</v>
      </c>
      <c r="W21" s="23">
        <f t="shared" si="8"/>
        <v>3.6805555555555557E-2</v>
      </c>
      <c r="X21" s="23">
        <f t="shared" si="9"/>
        <v>0.37916666666666665</v>
      </c>
      <c r="Y21" s="23">
        <f t="shared" si="10"/>
        <v>-6.9444444444444198E-4</v>
      </c>
      <c r="Z21" s="23"/>
      <c r="AA21" s="23">
        <f>+T21+Y21</f>
        <v>0.34166666666666667</v>
      </c>
      <c r="AB21" s="30">
        <f>(X21-T21)</f>
        <v>3.6805555555555536E-2</v>
      </c>
      <c r="AC21" s="30">
        <f>SUMIF($S$4:S21,S21,$AB$4:AB21)</f>
        <v>3.6805555555555536E-2</v>
      </c>
      <c r="AD21" s="23">
        <f>_xlfn.IFNA(VLOOKUP(VeredaTr1291621[[#This Row],[BUS]],_xlfn._xlws.SORT(TrCeib1181520[[BUS]:[T2]],11,-1,FALSE),11,FALSE),0)</f>
        <v>0.25416666666666654</v>
      </c>
      <c r="AE21" s="23">
        <f>+VeredaTr1291621[[#This Row],[∑VeredaTr]]+VeredaTr1291621[[#This Row],[T2]]</f>
        <v>0.29097222222222208</v>
      </c>
      <c r="AL21" s="7">
        <v>18</v>
      </c>
      <c r="AM21" s="55">
        <f>VLOOKUP(AL21,_xlfn._xlws.SORT(VeredaTr1291621[[BUS]:[∑]],13,-1,FALSE),13,FALSE)</f>
        <v>0.27291666666666647</v>
      </c>
    </row>
    <row r="22" spans="1:39" x14ac:dyDescent="0.35">
      <c r="A22" t="s">
        <v>70</v>
      </c>
      <c r="B22" s="28">
        <v>8</v>
      </c>
      <c r="C22" s="23">
        <v>0.36249999999999999</v>
      </c>
      <c r="D22" s="23">
        <f t="shared" si="5"/>
        <v>4.8611111111110938E-3</v>
      </c>
      <c r="E22" s="23">
        <f>VLOOKUP(TrCeib1181520[[#This Row],[HORA]],'OFERTA (4)'!I:M,5,TRUE)</f>
        <v>4.8611111111111112E-3</v>
      </c>
      <c r="F22" s="23">
        <f t="shared" si="0"/>
        <v>4.2361111111111106E-2</v>
      </c>
      <c r="G22" s="23">
        <f t="shared" si="6"/>
        <v>0.40486111111111112</v>
      </c>
      <c r="H22" s="23">
        <f t="shared" si="7"/>
        <v>0</v>
      </c>
      <c r="I22" s="23"/>
      <c r="J22" s="23">
        <f t="shared" si="1"/>
        <v>0.36249999999999999</v>
      </c>
      <c r="K22" s="30">
        <f>(G22-C22)+TrCeib1181520[[#This Row],[Tt_tex]]</f>
        <v>4.2361111111111127E-2</v>
      </c>
      <c r="L22" s="30">
        <f>SUMIF(B$4:$B22,TrCeib1181520[[#This Row],[BUS]],$K$4:K22)</f>
        <v>8.4722222222222254E-2</v>
      </c>
      <c r="M22" s="23">
        <f>_xlfn.IFNA(VLOOKUP(TrCeib1181520[[#This Row],[BUS]],_xlfn._xlws.SORT(VeredaTr1291621[[BUS]:[T2]],11,-1,FALSE),11,FALSE),0)</f>
        <v>0.22083333333333321</v>
      </c>
      <c r="N22" s="23">
        <f>+TrCeib1181520[[#This Row],[∑TrCeib]]+TrCeib1181520[[#This Row],[T2]]</f>
        <v>0.30555555555555547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"/>
        <v>4.8611111111110938E-3</v>
      </c>
      <c r="V22" s="23">
        <f>VLOOKUP(VeredaTr1291621[[#This Row],[HORA]],'OFERTA (4)'!B:F,5,TRUE)</f>
        <v>4.8611111111111112E-3</v>
      </c>
      <c r="W22" s="23">
        <f t="shared" si="8"/>
        <v>3.6805555555555557E-2</v>
      </c>
      <c r="X22" s="23">
        <f t="shared" si="9"/>
        <v>0.38402777777777775</v>
      </c>
      <c r="Y22" s="23">
        <f t="shared" si="10"/>
        <v>0</v>
      </c>
      <c r="Z22" s="23"/>
      <c r="AA22" s="23">
        <f>+T22+Y22</f>
        <v>0.34722222222222221</v>
      </c>
      <c r="AB22" s="30">
        <f>(X22-T22)</f>
        <v>3.6805555555555536E-2</v>
      </c>
      <c r="AC22" s="30">
        <f>SUMIF($S$4:S22,S22,$AB$4:AB22)</f>
        <v>7.3611111111111072E-2</v>
      </c>
      <c r="AD22" s="23">
        <f>_xlfn.IFNA(VLOOKUP(VeredaTr1291621[[#This Row],[BUS]],_xlfn._xlws.SORT(TrCeib1181520[[BUS]:[T2]],11,-1,FALSE),11,FALSE),0)</f>
        <v>0.25416666666666654</v>
      </c>
      <c r="AE22" s="23">
        <f>+VeredaTr1291621[[#This Row],[∑VeredaTr]]+VeredaTr1291621[[#This Row],[T2]]</f>
        <v>0.32777777777777761</v>
      </c>
      <c r="AL22" s="7">
        <v>19</v>
      </c>
      <c r="AM22" s="55" t="e">
        <f>VLOOKUP(AL22,_xlfn._xlws.SORT(VeredaTr1291621[[BUS]:[∑]],13,-1,FALSE),13,FALSE)</f>
        <v>#N/A</v>
      </c>
    </row>
    <row r="23" spans="1:39" x14ac:dyDescent="0.35">
      <c r="B23" s="28">
        <v>12</v>
      </c>
      <c r="C23" s="23">
        <v>0.36805555555555552</v>
      </c>
      <c r="D23" s="23">
        <f t="shared" si="5"/>
        <v>5.5555555555555358E-3</v>
      </c>
      <c r="E23" s="23">
        <f>VLOOKUP(TrCeib1181520[[#This Row],[HORA]],'OFERTA (4)'!I:M,5,TRUE)</f>
        <v>4.8611111111111112E-3</v>
      </c>
      <c r="F23" s="23">
        <f t="shared" si="0"/>
        <v>4.2361111111111106E-2</v>
      </c>
      <c r="G23" s="23">
        <f t="shared" si="6"/>
        <v>0.41041666666666665</v>
      </c>
      <c r="H23" s="23">
        <f t="shared" si="7"/>
        <v>-6.9444444444444198E-4</v>
      </c>
      <c r="I23" s="23"/>
      <c r="J23" s="23">
        <f t="shared" si="1"/>
        <v>0.36736111111111108</v>
      </c>
      <c r="K23" s="30">
        <f>(G23-C23)+TrCeib1181520[[#This Row],[Tt_tex]]</f>
        <v>4.2361111111111127E-2</v>
      </c>
      <c r="L23" s="30">
        <f>SUMIF(B$4:$B23,TrCeib1181520[[#This Row],[BUS]],$K$4:K23)</f>
        <v>4.2361111111111127E-2</v>
      </c>
      <c r="M23" s="23">
        <f>_xlfn.IFNA(VLOOKUP(TrCeib1181520[[#This Row],[BUS]],_xlfn._xlws.SORT(VeredaTr1291621[[BUS]:[T2]],11,-1,FALSE),11,FALSE),0)</f>
        <v>0.14722222222222214</v>
      </c>
      <c r="N23" s="23">
        <f>+TrCeib1181520[[#This Row],[∑TrCeib]]+TrCeib1181520[[#This Row],[T2]]</f>
        <v>0.18958333333333327</v>
      </c>
      <c r="O23" s="23"/>
      <c r="P23" s="40"/>
      <c r="Q23"/>
      <c r="R23" s="22" t="s">
        <v>63</v>
      </c>
      <c r="S23" s="28">
        <v>14</v>
      </c>
      <c r="T23" s="23">
        <v>0.3527777777777778</v>
      </c>
      <c r="U23" s="23">
        <f t="shared" si="2"/>
        <v>5.5555555555555913E-3</v>
      </c>
      <c r="V23" s="23">
        <f>VLOOKUP(VeredaTr1291621[[#This Row],[HORA]],'OFERTA (4)'!B:F,5,TRUE)</f>
        <v>4.8611111111111112E-3</v>
      </c>
      <c r="W23" s="23">
        <f t="shared" si="8"/>
        <v>3.6805555555555557E-2</v>
      </c>
      <c r="X23" s="23">
        <f t="shared" si="9"/>
        <v>0.38958333333333334</v>
      </c>
      <c r="Y23" s="23">
        <f t="shared" si="10"/>
        <v>-6.9444444444449749E-4</v>
      </c>
      <c r="Z23" s="23"/>
      <c r="AA23" s="23">
        <f>+T23+Y23</f>
        <v>0.3520833333333333</v>
      </c>
      <c r="AB23" s="30">
        <f>(X23-T23)</f>
        <v>3.6805555555555536E-2</v>
      </c>
      <c r="AC23" s="30">
        <f>SUMIF($S$4:S23,S23,$AB$4:AB23)</f>
        <v>3.6805555555555536E-2</v>
      </c>
      <c r="AD23" s="23">
        <f>_xlfn.IFNA(VLOOKUP(VeredaTr1291621[[#This Row],[BUS]],_xlfn._xlws.SORT(TrCeib1181520[[BUS]:[T2]],11,-1,FALSE),11,FALSE),0)</f>
        <v>0.16944444444444434</v>
      </c>
      <c r="AE23" s="23">
        <f>+VeredaTr1291621[[#This Row],[∑VeredaTr]]+VeredaTr1291621[[#This Row],[T2]]</f>
        <v>0.20624999999999988</v>
      </c>
      <c r="AL23" s="7">
        <v>20</v>
      </c>
      <c r="AM23" s="55" t="e">
        <f>VLOOKUP(AL23,_xlfn._xlws.SORT(VeredaTr1291621[[BUS]:[∑]],13,-1,FALSE),13,FALSE)</f>
        <v>#N/A</v>
      </c>
    </row>
    <row r="24" spans="1:39" x14ac:dyDescent="0.35">
      <c r="A24" t="s">
        <v>70</v>
      </c>
      <c r="B24" s="28">
        <v>1</v>
      </c>
      <c r="C24" s="23">
        <v>0.37361111111111112</v>
      </c>
      <c r="D24" s="23">
        <f t="shared" si="5"/>
        <v>5.5555555555555913E-3</v>
      </c>
      <c r="E24" s="23">
        <f>VLOOKUP(TrCeib1181520[[#This Row],[HORA]],'OFERTA (4)'!I:M,5,TRUE)</f>
        <v>4.8611111111111112E-3</v>
      </c>
      <c r="F24" s="23">
        <f t="shared" si="0"/>
        <v>4.2361111111111106E-2</v>
      </c>
      <c r="G24" s="23">
        <f t="shared" si="6"/>
        <v>0.41597222222222224</v>
      </c>
      <c r="H24" s="23">
        <f t="shared" si="7"/>
        <v>-6.9444444444449749E-4</v>
      </c>
      <c r="I24" s="23"/>
      <c r="J24" s="23">
        <f t="shared" si="1"/>
        <v>0.37291666666666662</v>
      </c>
      <c r="K24" s="30">
        <f>(G24-C24)+TrCeib1181520[[#This Row],[Tt_tex]]</f>
        <v>4.2361111111111127E-2</v>
      </c>
      <c r="L24" s="30">
        <f>SUMIF(B$4:$B24,TrCeib1181520[[#This Row],[BUS]],$K$4:K24)</f>
        <v>0.12708333333333338</v>
      </c>
      <c r="M24" s="23">
        <f>_xlfn.IFNA(VLOOKUP(TrCeib1181520[[#This Row],[BUS]],_xlfn._xlws.SORT(VeredaTr1291621[[BUS]:[T2]],11,-1,FALSE),11,FALSE),0)</f>
        <v>0.22083333333333321</v>
      </c>
      <c r="N24" s="23">
        <f>+TrCeib1181520[[#This Row],[∑TrCeib]]+TrCeib1181520[[#This Row],[T2]]</f>
        <v>0.3479166666666666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"/>
        <v>4.8611111111110938E-3</v>
      </c>
      <c r="V24" s="23">
        <f>VLOOKUP(VeredaTr1291621[[#This Row],[HORA]],'OFERTA (4)'!B:F,5,TRUE)</f>
        <v>4.8611111111111112E-3</v>
      </c>
      <c r="W24" s="23">
        <f t="shared" si="8"/>
        <v>3.6805555555555557E-2</v>
      </c>
      <c r="X24" s="23">
        <f t="shared" si="9"/>
        <v>0.39444444444444443</v>
      </c>
      <c r="Y24" s="23">
        <f t="shared" si="10"/>
        <v>0</v>
      </c>
      <c r="Z24" s="23"/>
      <c r="AA24" s="23">
        <f t="shared" si="3"/>
        <v>0.3576388888888889</v>
      </c>
      <c r="AB24" s="30">
        <f t="shared" si="4"/>
        <v>3.6805555555555536E-2</v>
      </c>
      <c r="AC24" s="30">
        <f>SUMIF($S$4:S24,S24,$AB$4:AB24)</f>
        <v>7.3611111111111072E-2</v>
      </c>
      <c r="AD24" s="23">
        <f>_xlfn.IFNA(VLOOKUP(VeredaTr1291621[[#This Row],[BUS]],_xlfn._xlws.SORT(TrCeib1181520[[BUS]:[T2]],11,-1,FALSE),11,FALSE),0)</f>
        <v>0.2118055555555555</v>
      </c>
      <c r="AE24" s="23">
        <f>+VeredaTr1291621[[#This Row],[∑VeredaTr]]+VeredaTr1291621[[#This Row],[T2]]</f>
        <v>0.28541666666666654</v>
      </c>
      <c r="AL24" s="7">
        <v>21</v>
      </c>
      <c r="AM24" s="55" t="e">
        <f>VLOOKUP(AL24,_xlfn._xlws.SORT(VeredaTr1291621[[BUS]:[∑]],13,-1,FALSE),13,FALSE)</f>
        <v>#N/A</v>
      </c>
    </row>
    <row r="25" spans="1:39" x14ac:dyDescent="0.35">
      <c r="B25" s="28">
        <v>13</v>
      </c>
      <c r="C25" s="23">
        <v>0.37916666666666665</v>
      </c>
      <c r="D25" s="23">
        <f t="shared" si="5"/>
        <v>5.5555555555555358E-3</v>
      </c>
      <c r="E25" s="23">
        <f>VLOOKUP(TrCeib1181520[[#This Row],[HORA]],'OFERTA (4)'!I:M,5,TRUE)</f>
        <v>4.8611111111111112E-3</v>
      </c>
      <c r="F25" s="23">
        <f t="shared" si="0"/>
        <v>4.2361111111111106E-2</v>
      </c>
      <c r="G25" s="23">
        <f t="shared" si="6"/>
        <v>0.42152777777777778</v>
      </c>
      <c r="H25" s="23">
        <f t="shared" si="7"/>
        <v>-6.9444444444444198E-4</v>
      </c>
      <c r="I25" s="23"/>
      <c r="J25" s="23">
        <f t="shared" si="1"/>
        <v>0.37847222222222221</v>
      </c>
      <c r="K25" s="30">
        <f>(G25-C25)+TrCeib1181520[[#This Row],[Tt_tex]]</f>
        <v>4.2361111111111127E-2</v>
      </c>
      <c r="L25" s="30">
        <f>SUMIF(B$4:$B25,TrCeib1181520[[#This Row],[BUS]],$K$4:K25)</f>
        <v>4.2361111111111127E-2</v>
      </c>
      <c r="M25" s="23">
        <f>_xlfn.IFNA(VLOOKUP(TrCeib1181520[[#This Row],[BUS]],_xlfn._xlws.SORT(VeredaTr1291621[[BUS]:[T2]],11,-1,FALSE),11,FALSE),0)</f>
        <v>0.22083333333333321</v>
      </c>
      <c r="N25" s="23">
        <f>+TrCeib1181520[[#This Row],[∑TrCeib]]+TrCeib1181520[[#This Row],[T2]]</f>
        <v>0.26319444444444434</v>
      </c>
      <c r="O25" s="23"/>
      <c r="P25" s="40"/>
      <c r="Q25"/>
      <c r="R25" s="22" t="s">
        <v>63</v>
      </c>
      <c r="S25" s="28">
        <v>15</v>
      </c>
      <c r="T25" s="23">
        <v>0.36319444444444443</v>
      </c>
      <c r="U25" s="23">
        <f t="shared" si="2"/>
        <v>5.5555555555555358E-3</v>
      </c>
      <c r="V25" s="23">
        <f>VLOOKUP(VeredaTr1291621[[#This Row],[HORA]],'OFERTA (4)'!B:F,5,TRUE)</f>
        <v>4.8611111111111112E-3</v>
      </c>
      <c r="W25" s="23">
        <f t="shared" si="8"/>
        <v>3.6805555555555557E-2</v>
      </c>
      <c r="X25" s="23">
        <f t="shared" si="9"/>
        <v>0.39999999999999997</v>
      </c>
      <c r="Y25" s="23">
        <f t="shared" si="10"/>
        <v>-6.9444444444444198E-4</v>
      </c>
      <c r="Z25" s="23"/>
      <c r="AA25" s="23">
        <f>+T25+Y25</f>
        <v>0.36249999999999999</v>
      </c>
      <c r="AB25" s="30">
        <f>(X25-T25)</f>
        <v>3.6805555555555536E-2</v>
      </c>
      <c r="AC25" s="30">
        <f>SUMIF($S$4:S25,S25,$AB$4:AB25)</f>
        <v>3.6805555555555536E-2</v>
      </c>
      <c r="AD25" s="23">
        <f>_xlfn.IFNA(VLOOKUP(VeredaTr1291621[[#This Row],[BUS]],_xlfn._xlws.SORT(TrCeib1181520[[BUS]:[T2]],11,-1,FALSE),11,FALSE),0)</f>
        <v>0.16944444444444434</v>
      </c>
      <c r="AE25" s="23">
        <f>+VeredaTr1291621[[#This Row],[∑VeredaTr]]+VeredaTr1291621[[#This Row],[T2]]</f>
        <v>0.20624999999999988</v>
      </c>
      <c r="AL25" s="7">
        <v>22</v>
      </c>
      <c r="AM25" s="55" t="e">
        <f>VLOOKUP(AL25,_xlfn._xlws.SORT(VeredaTr1291621[[BUS]:[∑]],13,-1,FALSE),13,FALSE)</f>
        <v>#N/A</v>
      </c>
    </row>
    <row r="26" spans="1:39" x14ac:dyDescent="0.35">
      <c r="A26" t="s">
        <v>70</v>
      </c>
      <c r="B26" s="28">
        <v>2</v>
      </c>
      <c r="C26" s="23">
        <v>0.38402777777777775</v>
      </c>
      <c r="D26" s="23">
        <f t="shared" si="5"/>
        <v>4.8611111111110938E-3</v>
      </c>
      <c r="E26" s="23">
        <f>VLOOKUP(TrCeib1181520[[#This Row],[HORA]],'OFERTA (4)'!I:M,5,TRUE)</f>
        <v>4.8611111111111112E-3</v>
      </c>
      <c r="F26" s="23">
        <f t="shared" si="0"/>
        <v>4.2361111111111106E-2</v>
      </c>
      <c r="G26" s="23">
        <f t="shared" si="6"/>
        <v>0.42638888888888887</v>
      </c>
      <c r="H26" s="23">
        <f t="shared" si="7"/>
        <v>0</v>
      </c>
      <c r="I26" s="23"/>
      <c r="J26" s="23">
        <f t="shared" si="1"/>
        <v>0.38402777777777775</v>
      </c>
      <c r="K26" s="30">
        <f>(G26-C26)+TrCeib1181520[[#This Row],[Tt_tex]]</f>
        <v>4.2361111111111127E-2</v>
      </c>
      <c r="L26" s="30">
        <f>SUMIF(B$4:$B26,TrCeib1181520[[#This Row],[BUS]],$K$4:K26)</f>
        <v>0.12708333333333335</v>
      </c>
      <c r="M26" s="23">
        <f>_xlfn.IFNA(VLOOKUP(TrCeib1181520[[#This Row],[BUS]],_xlfn._xlws.SORT(VeredaTr1291621[[BUS]:[T2]],11,-1,FALSE),11,FALSE),0)</f>
        <v>0.22083333333333321</v>
      </c>
      <c r="N26" s="23">
        <f>+TrCeib1181520[[#This Row],[∑TrCeib]]+TrCeib1181520[[#This Row],[T2]]</f>
        <v>0.34791666666666654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"/>
        <v>4.8611111111111494E-3</v>
      </c>
      <c r="V26" s="23">
        <f>VLOOKUP(VeredaTr1291621[[#This Row],[HORA]],'OFERTA (4)'!B:F,5,TRUE)</f>
        <v>4.8611111111111112E-3</v>
      </c>
      <c r="W26" s="23">
        <f t="shared" si="8"/>
        <v>3.6805555555555557E-2</v>
      </c>
      <c r="X26" s="23">
        <f t="shared" si="9"/>
        <v>0.40486111111111112</v>
      </c>
      <c r="Y26" s="23">
        <f t="shared" si="10"/>
        <v>0</v>
      </c>
      <c r="Z26" s="23"/>
      <c r="AA26" s="23">
        <f t="shared" si="3"/>
        <v>0.36805555555555558</v>
      </c>
      <c r="AB26" s="30">
        <f t="shared" si="4"/>
        <v>3.6805555555555536E-2</v>
      </c>
      <c r="AC26" s="30">
        <f>SUMIF($S$4:S26,S26,$AB$4:AB26)</f>
        <v>7.3611111111111072E-2</v>
      </c>
      <c r="AD26" s="23">
        <f>_xlfn.IFNA(VLOOKUP(VeredaTr1291621[[#This Row],[BUS]],_xlfn._xlws.SORT(TrCeib1181520[[BUS]:[T2]],11,-1,FALSE),11,FALSE),0)</f>
        <v>0.29513888888888884</v>
      </c>
      <c r="AE26" s="23">
        <f>+VeredaTr1291621[[#This Row],[∑VeredaTr]]+VeredaTr1291621[[#This Row],[T2]]</f>
        <v>0.36874999999999991</v>
      </c>
      <c r="AL26" s="7">
        <v>23</v>
      </c>
      <c r="AM26" s="55" t="e">
        <f>VLOOKUP(AL26,_xlfn._xlws.SORT(VeredaTr1291621[[BUS]:[∑]],13,-1,FALSE),13,FALSE)</f>
        <v>#N/A</v>
      </c>
    </row>
    <row r="27" spans="1:39" x14ac:dyDescent="0.35">
      <c r="B27" s="28">
        <v>14</v>
      </c>
      <c r="C27" s="23">
        <v>0.38958333333333334</v>
      </c>
      <c r="D27" s="23">
        <f t="shared" si="5"/>
        <v>5.5555555555555913E-3</v>
      </c>
      <c r="E27" s="23">
        <f>VLOOKUP(TrCeib1181520[[#This Row],[HORA]],'OFERTA (4)'!I:M,5,TRUE)</f>
        <v>4.8611111111111112E-3</v>
      </c>
      <c r="F27" s="23">
        <f t="shared" si="0"/>
        <v>4.2361111111111106E-2</v>
      </c>
      <c r="G27" s="23">
        <f t="shared" si="6"/>
        <v>0.43194444444444446</v>
      </c>
      <c r="H27" s="23">
        <f t="shared" si="7"/>
        <v>-6.9444444444449749E-4</v>
      </c>
      <c r="I27" s="23"/>
      <c r="J27" s="23">
        <f t="shared" si="1"/>
        <v>0.38888888888888884</v>
      </c>
      <c r="K27" s="30">
        <f>(G27-C27)+TrCeib1181520[[#This Row],[Tt_tex]]</f>
        <v>4.2361111111111127E-2</v>
      </c>
      <c r="L27" s="30">
        <f>SUMIF(B$4:$B27,TrCeib1181520[[#This Row],[BUS]],$K$4:K27)</f>
        <v>4.2361111111111127E-2</v>
      </c>
      <c r="M27" s="23">
        <f>_xlfn.IFNA(VLOOKUP(TrCeib1181520[[#This Row],[BUS]],_xlfn._xlws.SORT(VeredaTr1291621[[BUS]:[T2]],11,-1,FALSE),11,FALSE),0)</f>
        <v>0.18402777777777768</v>
      </c>
      <c r="N27" s="23">
        <f>+TrCeib1181520[[#This Row],[∑TrCeib]]+TrCeib1181520[[#This Row],[T2]]</f>
        <v>0.22638888888888881</v>
      </c>
      <c r="O27" s="23"/>
      <c r="P27" s="40"/>
      <c r="Q27"/>
      <c r="R27" s="22"/>
      <c r="S27" s="28">
        <v>5</v>
      </c>
      <c r="T27" s="23">
        <v>0.37361111111111112</v>
      </c>
      <c r="U27" s="23">
        <f t="shared" si="2"/>
        <v>5.5555555555555358E-3</v>
      </c>
      <c r="V27" s="23">
        <f>VLOOKUP(VeredaTr1291621[[#This Row],[HORA]],'OFERTA (4)'!B:F,5,TRUE)</f>
        <v>4.8611111111111112E-3</v>
      </c>
      <c r="W27" s="23">
        <f t="shared" si="8"/>
        <v>3.6805555555555557E-2</v>
      </c>
      <c r="X27" s="23">
        <f t="shared" si="9"/>
        <v>0.41041666666666665</v>
      </c>
      <c r="Y27" s="23">
        <f t="shared" si="10"/>
        <v>-6.9444444444444198E-4</v>
      </c>
      <c r="Z27" s="23"/>
      <c r="AA27" s="23">
        <f t="shared" si="3"/>
        <v>0.37291666666666667</v>
      </c>
      <c r="AB27" s="30">
        <f t="shared" si="4"/>
        <v>3.6805555555555536E-2</v>
      </c>
      <c r="AC27" s="30">
        <f>SUMIF($S$4:S27,S27,$AB$4:AB27)</f>
        <v>0.11041666666666661</v>
      </c>
      <c r="AD27" s="23">
        <f>_xlfn.IFNA(VLOOKUP(VeredaTr1291621[[#This Row],[BUS]],_xlfn._xlws.SORT(TrCeib1181520[[BUS]:[T2]],11,-1,FALSE),11,FALSE),0)</f>
        <v>0.25416666666666665</v>
      </c>
      <c r="AE27" s="23">
        <f>+VeredaTr1291621[[#This Row],[∑VeredaTr]]+VeredaTr1291621[[#This Row],[T2]]</f>
        <v>0.36458333333333326</v>
      </c>
      <c r="AL27" s="7">
        <v>24</v>
      </c>
      <c r="AM27" s="55" t="e">
        <f>VLOOKUP(AL27,_xlfn._xlws.SORT(VeredaTr1291621[[BUS]:[∑]],13,-1,FALSE),13,FALSE)</f>
        <v>#N/A</v>
      </c>
    </row>
    <row r="28" spans="1:39" x14ac:dyDescent="0.35">
      <c r="A28" t="s">
        <v>70</v>
      </c>
      <c r="B28" s="28">
        <v>3</v>
      </c>
      <c r="C28" s="23">
        <v>0.39444444444444443</v>
      </c>
      <c r="D28" s="23">
        <f t="shared" si="5"/>
        <v>4.8611111111110938E-3</v>
      </c>
      <c r="E28" s="23">
        <f>VLOOKUP(TrCeib1181520[[#This Row],[HORA]],'OFERTA (4)'!I:M,5,TRUE)</f>
        <v>4.8611111111111112E-3</v>
      </c>
      <c r="F28" s="23">
        <f t="shared" si="0"/>
        <v>4.2361111111111106E-2</v>
      </c>
      <c r="G28" s="23">
        <f t="shared" si="6"/>
        <v>0.43680555555555556</v>
      </c>
      <c r="H28" s="23">
        <f t="shared" si="7"/>
        <v>0</v>
      </c>
      <c r="I28" s="23"/>
      <c r="J28" s="23">
        <f t="shared" si="1"/>
        <v>0.39444444444444443</v>
      </c>
      <c r="K28" s="30">
        <f>(G28-C28)+TrCeib1181520[[#This Row],[Tt_tex]]</f>
        <v>4.2361111111111127E-2</v>
      </c>
      <c r="L28" s="30">
        <f>SUMIF(B$4:$B28,TrCeib1181520[[#This Row],[BUS]],$K$4:K28)</f>
        <v>0.12708333333333335</v>
      </c>
      <c r="M28" s="23">
        <f>_xlfn.IFNA(VLOOKUP(TrCeib1181520[[#This Row],[BUS]],_xlfn._xlws.SORT(VeredaTr1291621[[BUS]:[T2]],11,-1,FALSE),11,FALSE),0)</f>
        <v>0.18402777777777768</v>
      </c>
      <c r="N28" s="23">
        <f>+TrCeib1181520[[#This Row],[∑TrCeib]]+TrCeib1181520[[#This Row],[T2]]</f>
        <v>0.31111111111111101</v>
      </c>
      <c r="O28" s="23"/>
      <c r="P28" s="40"/>
      <c r="Q28"/>
      <c r="R28" s="22"/>
      <c r="S28" s="28">
        <v>9</v>
      </c>
      <c r="T28" s="23">
        <v>0.37916666666666665</v>
      </c>
      <c r="U28" s="23">
        <f t="shared" si="2"/>
        <v>5.5555555555555358E-3</v>
      </c>
      <c r="V28" s="23">
        <f>VLOOKUP(VeredaTr1291621[[#This Row],[HORA]],'OFERTA (4)'!B:F,5,TRUE)</f>
        <v>4.8611111111111112E-3</v>
      </c>
      <c r="W28" s="23">
        <f t="shared" si="8"/>
        <v>3.6805555555555557E-2</v>
      </c>
      <c r="X28" s="23">
        <f t="shared" si="9"/>
        <v>0.41597222222222219</v>
      </c>
      <c r="Y28" s="23">
        <f t="shared" si="10"/>
        <v>-6.9444444444444198E-4</v>
      </c>
      <c r="Z28" s="23"/>
      <c r="AA28" s="23">
        <f t="shared" si="3"/>
        <v>0.37847222222222221</v>
      </c>
      <c r="AB28" s="30">
        <f t="shared" si="4"/>
        <v>3.6805555555555536E-2</v>
      </c>
      <c r="AC28" s="30">
        <f>SUMIF($S$4:S28,S28,$AB$4:AB28)</f>
        <v>7.3611111111111072E-2</v>
      </c>
      <c r="AD28" s="23">
        <f>_xlfn.IFNA(VLOOKUP(VeredaTr1291621[[#This Row],[BUS]],_xlfn._xlws.SORT(TrCeib1181520[[BUS]:[T2]],11,-1,FALSE),11,FALSE),0)</f>
        <v>0.1694444444444444</v>
      </c>
      <c r="AE28" s="23">
        <f>+VeredaTr1291621[[#This Row],[∑VeredaTr]]+VeredaTr1291621[[#This Row],[T2]]</f>
        <v>0.24305555555555547</v>
      </c>
    </row>
    <row r="29" spans="1:39" x14ac:dyDescent="0.35">
      <c r="B29" s="28">
        <v>15</v>
      </c>
      <c r="C29" s="23">
        <v>0.39999999999999997</v>
      </c>
      <c r="D29" s="23">
        <f t="shared" si="5"/>
        <v>5.5555555555555358E-3</v>
      </c>
      <c r="E29" s="23">
        <f>VLOOKUP(TrCeib1181520[[#This Row],[HORA]],'OFERTA (4)'!I:M,5,TRUE)</f>
        <v>6.9444444444444441E-3</v>
      </c>
      <c r="F29" s="23">
        <f t="shared" si="0"/>
        <v>4.2361111111111106E-2</v>
      </c>
      <c r="G29" s="23">
        <f t="shared" si="6"/>
        <v>0.44236111111111109</v>
      </c>
      <c r="H29" s="23">
        <f t="shared" si="7"/>
        <v>1.388888888888884E-3</v>
      </c>
      <c r="I29" s="23"/>
      <c r="J29" s="23">
        <f t="shared" si="1"/>
        <v>0.40138888888888885</v>
      </c>
      <c r="K29" s="30">
        <f>(G29-C29)+TrCeib1181520[[#This Row],[Tt_tex]]</f>
        <v>4.2361111111111127E-2</v>
      </c>
      <c r="L29" s="30">
        <f>SUMIF(B$4:$B29,TrCeib1181520[[#This Row],[BUS]],$K$4:K29)</f>
        <v>4.2361111111111127E-2</v>
      </c>
      <c r="M29" s="23">
        <f>_xlfn.IFNA(VLOOKUP(TrCeib1181520[[#This Row],[BUS]],_xlfn._xlws.SORT(VeredaTr1291621[[BUS]:[T2]],11,-1,FALSE),11,FALSE),0)</f>
        <v>0.18402777777777768</v>
      </c>
      <c r="N29" s="23">
        <f>+TrCeib1181520[[#This Row],[∑TrCeib]]+TrCeib1181520[[#This Row],[T2]]</f>
        <v>0.22638888888888881</v>
      </c>
      <c r="O29" s="23"/>
      <c r="P29" s="40"/>
      <c r="Q29"/>
      <c r="R29" s="22"/>
      <c r="S29" s="28">
        <v>6</v>
      </c>
      <c r="T29" s="23">
        <v>0.3840277777777778</v>
      </c>
      <c r="U29" s="23">
        <f t="shared" si="2"/>
        <v>4.8611111111111494E-3</v>
      </c>
      <c r="V29" s="23">
        <f>VLOOKUP(VeredaTr1291621[[#This Row],[HORA]],'OFERTA (4)'!B:F,5,TRUE)</f>
        <v>4.8611111111111112E-3</v>
      </c>
      <c r="W29" s="23">
        <f t="shared" si="8"/>
        <v>3.6805555555555557E-2</v>
      </c>
      <c r="X29" s="23">
        <f t="shared" si="9"/>
        <v>0.42083333333333334</v>
      </c>
      <c r="Y29" s="23">
        <f t="shared" si="10"/>
        <v>0</v>
      </c>
      <c r="Z29" s="23"/>
      <c r="AA29" s="23">
        <f t="shared" si="3"/>
        <v>0.3840277777777778</v>
      </c>
      <c r="AB29" s="30">
        <f t="shared" si="4"/>
        <v>3.6805555555555536E-2</v>
      </c>
      <c r="AC29" s="30">
        <f>SUMIF($S$4:S29,S29,$AB$4:AB29)</f>
        <v>0.11041666666666664</v>
      </c>
      <c r="AD29" s="23">
        <f>_xlfn.IFNA(VLOOKUP(VeredaTr1291621[[#This Row],[BUS]],_xlfn._xlws.SORT(TrCeib1181520[[BUS]:[T2]],11,-1,FALSE),11,FALSE),0)</f>
        <v>0.21180555555555552</v>
      </c>
      <c r="AE29" s="23">
        <f>+VeredaTr1291621[[#This Row],[∑VeredaTr]]+VeredaTr1291621[[#This Row],[T2]]</f>
        <v>0.32222222222222219</v>
      </c>
    </row>
    <row r="30" spans="1:39" x14ac:dyDescent="0.35">
      <c r="A30" t="s">
        <v>70</v>
      </c>
      <c r="B30" s="28">
        <v>4</v>
      </c>
      <c r="C30" s="23">
        <v>0.40486111111111112</v>
      </c>
      <c r="D30" s="23">
        <f t="shared" si="5"/>
        <v>4.8611111111111494E-3</v>
      </c>
      <c r="E30" s="23">
        <f>VLOOKUP(TrCeib1181520[[#This Row],[HORA]],'OFERTA (4)'!I:M,5,TRUE)</f>
        <v>6.9444444444444441E-3</v>
      </c>
      <c r="F30" s="23">
        <f t="shared" si="0"/>
        <v>4.2361111111111106E-2</v>
      </c>
      <c r="G30" s="23">
        <f t="shared" si="6"/>
        <v>0.44722222222222224</v>
      </c>
      <c r="H30" s="23">
        <f t="shared" si="7"/>
        <v>2.0833333333332704E-3</v>
      </c>
      <c r="I30" s="23"/>
      <c r="J30" s="23">
        <f t="shared" si="1"/>
        <v>0.40694444444444439</v>
      </c>
      <c r="K30" s="30">
        <f>(G30-C30)+TrCeib1181520[[#This Row],[Tt_tex]]</f>
        <v>4.2361111111111127E-2</v>
      </c>
      <c r="L30" s="30">
        <f>SUMIF(B$4:$B30,TrCeib1181520[[#This Row],[BUS]],$K$4:K30)</f>
        <v>0.12708333333333338</v>
      </c>
      <c r="M30" s="23">
        <f>_xlfn.IFNA(VLOOKUP(TrCeib1181520[[#This Row],[BUS]],_xlfn._xlws.SORT(VeredaTr1291621[[BUS]:[T2]],11,-1,FALSE),11,FALSE),0)</f>
        <v>0.22083333333333321</v>
      </c>
      <c r="N30" s="23">
        <f>+TrCeib1181520[[#This Row],[∑TrCeib]]+TrCeib1181520[[#This Row],[T2]]</f>
        <v>0.3479166666666666</v>
      </c>
      <c r="O30" s="23"/>
      <c r="P30" s="40"/>
      <c r="Q30"/>
      <c r="R30" s="22"/>
      <c r="S30" s="28">
        <v>10</v>
      </c>
      <c r="T30" s="23">
        <v>0.38958333333333334</v>
      </c>
      <c r="U30" s="23">
        <f t="shared" si="2"/>
        <v>5.5555555555555358E-3</v>
      </c>
      <c r="V30" s="23">
        <f>VLOOKUP(VeredaTr1291621[[#This Row],[HORA]],'OFERTA (4)'!B:F,5,TRUE)</f>
        <v>4.8611111111111112E-3</v>
      </c>
      <c r="W30" s="23">
        <f t="shared" si="8"/>
        <v>3.6805555555555557E-2</v>
      </c>
      <c r="X30" s="23">
        <f t="shared" si="9"/>
        <v>0.42638888888888887</v>
      </c>
      <c r="Y30" s="23">
        <f t="shared" si="10"/>
        <v>-6.9444444444444198E-4</v>
      </c>
      <c r="Z30" s="23"/>
      <c r="AA30" s="23">
        <f t="shared" si="3"/>
        <v>0.3888888888888889</v>
      </c>
      <c r="AB30" s="30">
        <f t="shared" si="4"/>
        <v>3.6805555555555536E-2</v>
      </c>
      <c r="AC30" s="30">
        <f>SUMIF($S$4:S30,S30,$AB$4:AB30)</f>
        <v>7.3611111111111072E-2</v>
      </c>
      <c r="AD30" s="23">
        <f>_xlfn.IFNA(VLOOKUP(VeredaTr1291621[[#This Row],[BUS]],_xlfn._xlws.SORT(TrCeib1181520[[BUS]:[T2]],11,-1,FALSE),11,FALSE),0)</f>
        <v>0.1694444444444444</v>
      </c>
      <c r="AE30" s="23">
        <f>+VeredaTr1291621[[#This Row],[∑VeredaTr]]+VeredaTr1291621[[#This Row],[T2]]</f>
        <v>0.24305555555555547</v>
      </c>
    </row>
    <row r="31" spans="1:39" x14ac:dyDescent="0.35">
      <c r="B31" s="28">
        <v>5</v>
      </c>
      <c r="C31" s="23">
        <v>0.41041666666666665</v>
      </c>
      <c r="D31" s="23">
        <f t="shared" si="5"/>
        <v>5.5555555555555358E-3</v>
      </c>
      <c r="E31" s="23">
        <f>VLOOKUP(TrCeib1181520[[#This Row],[HORA]],'OFERTA (4)'!I:M,5,TRUE)</f>
        <v>6.9444444444444441E-3</v>
      </c>
      <c r="F31" s="23">
        <f t="shared" si="0"/>
        <v>4.2361111111111106E-2</v>
      </c>
      <c r="G31" s="23">
        <f t="shared" si="6"/>
        <v>0.45277777777777778</v>
      </c>
      <c r="H31" s="23">
        <f t="shared" si="7"/>
        <v>1.388888888888884E-3</v>
      </c>
      <c r="I31" s="23"/>
      <c r="J31" s="23">
        <f t="shared" si="1"/>
        <v>0.41180555555555554</v>
      </c>
      <c r="K31" s="30">
        <f>(G31-C31)+TrCeib1181520[[#This Row],[Tt_tex]]</f>
        <v>4.2361111111111127E-2</v>
      </c>
      <c r="L31" s="30">
        <f>SUMIF(B$4:$B31,TrCeib1181520[[#This Row],[BUS]],$K$4:K31)</f>
        <v>0.12708333333333338</v>
      </c>
      <c r="M31" s="23">
        <f>_xlfn.IFNA(VLOOKUP(TrCeib1181520[[#This Row],[BUS]],_xlfn._xlws.SORT(VeredaTr1291621[[BUS]:[T2]],11,-1,FALSE),11,FALSE),0)</f>
        <v>0.25763888888888875</v>
      </c>
      <c r="N31" s="23">
        <f>+TrCeib1181520[[#This Row],[∑TrCeib]]+TrCeib1181520[[#This Row],[T2]]</f>
        <v>0.38472222222222213</v>
      </c>
      <c r="O31" s="23"/>
      <c r="P31" s="40"/>
      <c r="Q31"/>
      <c r="R31" s="22"/>
      <c r="S31" s="28">
        <v>11</v>
      </c>
      <c r="T31" s="23">
        <v>0.4</v>
      </c>
      <c r="U31" s="23">
        <f t="shared" si="2"/>
        <v>1.0416666666666685E-2</v>
      </c>
      <c r="V31" s="23">
        <f>VLOOKUP(VeredaTr1291621[[#This Row],[HORA]],'OFERTA (4)'!B:F,5,TRUE)</f>
        <v>4.8611111111111112E-3</v>
      </c>
      <c r="W31" s="23">
        <f t="shared" si="8"/>
        <v>3.6805555555555557E-2</v>
      </c>
      <c r="X31" s="23">
        <f t="shared" si="9"/>
        <v>0.43680555555555556</v>
      </c>
      <c r="Y31" s="23">
        <f t="shared" si="10"/>
        <v>-5.5555555555555913E-3</v>
      </c>
      <c r="Z31" s="23"/>
      <c r="AA31" s="23">
        <f t="shared" si="3"/>
        <v>0.39444444444444443</v>
      </c>
      <c r="AB31" s="30">
        <f t="shared" si="4"/>
        <v>3.6805555555555536E-2</v>
      </c>
      <c r="AC31" s="30">
        <f>SUMIF($S$4:S31,S31,$AB$4:AB31)</f>
        <v>7.3611111111111072E-2</v>
      </c>
      <c r="AD31" s="23">
        <f>_xlfn.IFNA(VLOOKUP(VeredaTr1291621[[#This Row],[BUS]],_xlfn._xlws.SORT(TrCeib1181520[[BUS]:[T2]],11,-1,FALSE),11,FALSE),0)</f>
        <v>0.25416666666666654</v>
      </c>
      <c r="AE31" s="23">
        <f>+VeredaTr1291621[[#This Row],[∑VeredaTr]]+VeredaTr1291621[[#This Row],[T2]]</f>
        <v>0.32777777777777761</v>
      </c>
    </row>
    <row r="32" spans="1:39" x14ac:dyDescent="0.35">
      <c r="B32" s="28">
        <v>9</v>
      </c>
      <c r="C32" s="23">
        <v>0.41597222222222219</v>
      </c>
      <c r="D32" s="23">
        <f t="shared" si="5"/>
        <v>5.5555555555555358E-3</v>
      </c>
      <c r="E32" s="23">
        <f>VLOOKUP(TrCeib1181520[[#This Row],[HORA]],'OFERTA (4)'!I:M,5,TRUE)</f>
        <v>6.9444444444444441E-3</v>
      </c>
      <c r="F32" s="23">
        <f t="shared" si="0"/>
        <v>4.2361111111111106E-2</v>
      </c>
      <c r="G32" s="23">
        <f t="shared" si="6"/>
        <v>0.45833333333333331</v>
      </c>
      <c r="H32" s="23">
        <f t="shared" si="7"/>
        <v>1.388888888888884E-3</v>
      </c>
      <c r="I32" s="23"/>
      <c r="J32" s="23">
        <f t="shared" si="1"/>
        <v>0.41736111111111107</v>
      </c>
      <c r="K32" s="30">
        <f>(G32-C32)+TrCeib1181520[[#This Row],[Tt_tex]]</f>
        <v>4.2361111111111127E-2</v>
      </c>
      <c r="L32" s="30">
        <f>SUMIF(B$4:$B32,TrCeib1181520[[#This Row],[BUS]],$K$4:K32)</f>
        <v>8.4722222222222254E-2</v>
      </c>
      <c r="M32" s="23">
        <f>_xlfn.IFNA(VLOOKUP(TrCeib1181520[[#This Row],[BUS]],_xlfn._xlws.SORT(VeredaTr1291621[[BUS]:[T2]],11,-1,FALSE),11,FALSE),0)</f>
        <v>0.14722222222222214</v>
      </c>
      <c r="N32" s="23">
        <f>+TrCeib1181520[[#This Row],[∑TrCeib]]+TrCeib1181520[[#This Row],[T2]]</f>
        <v>0.2319444444444444</v>
      </c>
      <c r="O32" s="23"/>
      <c r="P32" s="40"/>
      <c r="Q32"/>
      <c r="R32" s="22"/>
      <c r="S32" s="28">
        <v>12</v>
      </c>
      <c r="T32" s="23">
        <v>0.41041666666666665</v>
      </c>
      <c r="U32" s="23">
        <f t="shared" si="2"/>
        <v>1.041666666666663E-2</v>
      </c>
      <c r="V32" s="23">
        <f>VLOOKUP(VeredaTr1291621[[#This Row],[HORA]],'OFERTA (4)'!B:F,5,TRUE)</f>
        <v>4.8611111111111112E-3</v>
      </c>
      <c r="W32" s="23">
        <f t="shared" si="8"/>
        <v>3.6805555555555557E-2</v>
      </c>
      <c r="X32" s="23">
        <f t="shared" si="9"/>
        <v>0.44722222222222219</v>
      </c>
      <c r="Y32" s="23">
        <f t="shared" si="10"/>
        <v>-5.5555555555555358E-3</v>
      </c>
      <c r="Z32" s="23"/>
      <c r="AA32" s="23">
        <f t="shared" si="3"/>
        <v>0.40486111111111112</v>
      </c>
      <c r="AB32" s="30">
        <f t="shared" si="4"/>
        <v>3.6805555555555536E-2</v>
      </c>
      <c r="AC32" s="30">
        <f>SUMIF($S$4:S32,S32,$AB$4:AB32)</f>
        <v>7.3611111111111072E-2</v>
      </c>
      <c r="AD32" s="23">
        <f>_xlfn.IFNA(VLOOKUP(VeredaTr1291621[[#This Row],[BUS]],_xlfn._xlws.SORT(TrCeib1181520[[BUS]:[T2]],11,-1,FALSE),11,FALSE),0)</f>
        <v>0.1694444444444444</v>
      </c>
      <c r="AE32" s="23">
        <f>+VeredaTr1291621[[#This Row],[∑VeredaTr]]+VeredaTr1291621[[#This Row],[T2]]</f>
        <v>0.24305555555555547</v>
      </c>
    </row>
    <row r="33" spans="1:31" x14ac:dyDescent="0.35">
      <c r="B33" s="28">
        <v>6</v>
      </c>
      <c r="C33" s="23">
        <v>0.42083333333333334</v>
      </c>
      <c r="D33" s="23">
        <f t="shared" si="5"/>
        <v>4.8611111111111494E-3</v>
      </c>
      <c r="E33" s="23">
        <f>VLOOKUP(TrCeib1181520[[#This Row],[HORA]],'OFERTA (4)'!I:M,5,TRUE)</f>
        <v>6.9444444444444441E-3</v>
      </c>
      <c r="F33" s="23">
        <f t="shared" si="0"/>
        <v>4.2361111111111106E-2</v>
      </c>
      <c r="G33" s="23">
        <f t="shared" si="6"/>
        <v>0.46319444444444446</v>
      </c>
      <c r="H33" s="23">
        <f t="shared" si="7"/>
        <v>2.0833333333332704E-3</v>
      </c>
      <c r="I33" s="23"/>
      <c r="J33" s="23">
        <f t="shared" si="1"/>
        <v>0.42291666666666661</v>
      </c>
      <c r="K33" s="30">
        <f>(G33-C33)+TrCeib1181520[[#This Row],[Tt_tex]]</f>
        <v>4.2361111111111127E-2</v>
      </c>
      <c r="L33" s="30">
        <f>SUMIF(B$4:$B33,TrCeib1181520[[#This Row],[BUS]],$K$4:K33)</f>
        <v>0.12708333333333338</v>
      </c>
      <c r="M33" s="23">
        <f>_xlfn.IFNA(VLOOKUP(TrCeib1181520[[#This Row],[BUS]],_xlfn._xlws.SORT(VeredaTr1291621[[BUS]:[T2]],11,-1,FALSE),11,FALSE),0)</f>
        <v>0.18402777777777776</v>
      </c>
      <c r="N33" s="23">
        <f>+TrCeib1181520[[#This Row],[∑TrCeib]]+TrCeib1181520[[#This Row],[T2]]</f>
        <v>0.31111111111111112</v>
      </c>
      <c r="O33" s="23"/>
      <c r="P33" s="40"/>
      <c r="Q33"/>
      <c r="R33" s="22"/>
      <c r="S33" s="28">
        <v>13</v>
      </c>
      <c r="T33" s="23">
        <v>0.42152777777777778</v>
      </c>
      <c r="U33" s="23">
        <f t="shared" si="2"/>
        <v>1.1111111111111127E-2</v>
      </c>
      <c r="V33" s="23">
        <f>VLOOKUP(VeredaTr1291621[[#This Row],[HORA]],'OFERTA (4)'!B:F,5,TRUE)</f>
        <v>6.9444444444444441E-3</v>
      </c>
      <c r="W33" s="23">
        <f t="shared" si="8"/>
        <v>3.6805555555555557E-2</v>
      </c>
      <c r="X33" s="23">
        <f t="shared" si="9"/>
        <v>0.45833333333333331</v>
      </c>
      <c r="Y33" s="23">
        <f t="shared" si="10"/>
        <v>-4.1666666666667074E-3</v>
      </c>
      <c r="Z33" s="23"/>
      <c r="AA33" s="23">
        <f t="shared" si="3"/>
        <v>0.41736111111111107</v>
      </c>
      <c r="AB33" s="30">
        <f t="shared" si="4"/>
        <v>3.6805555555555536E-2</v>
      </c>
      <c r="AC33" s="30">
        <f>SUMIF($S$4:S33,S33,$AB$4:AB33)</f>
        <v>7.3611111111111072E-2</v>
      </c>
      <c r="AD33" s="23">
        <f>_xlfn.IFNA(VLOOKUP(VeredaTr1291621[[#This Row],[BUS]],_xlfn._xlws.SORT(TrCeib1181520[[BUS]:[T2]],11,-1,FALSE),11,FALSE),0)</f>
        <v>0.25416666666666654</v>
      </c>
      <c r="AE33" s="23">
        <f>+VeredaTr1291621[[#This Row],[∑VeredaTr]]+VeredaTr1291621[[#This Row],[T2]]</f>
        <v>0.32777777777777761</v>
      </c>
    </row>
    <row r="34" spans="1:31" x14ac:dyDescent="0.35">
      <c r="B34" s="28">
        <v>10</v>
      </c>
      <c r="C34" s="23">
        <v>0.42638888888888887</v>
      </c>
      <c r="D34" s="23">
        <f t="shared" si="5"/>
        <v>5.5555555555555358E-3</v>
      </c>
      <c r="E34" s="23">
        <f>VLOOKUP(TrCeib1181520[[#This Row],[HORA]],'OFERTA (4)'!I:M,5,TRUE)</f>
        <v>6.9444444444444441E-3</v>
      </c>
      <c r="F34" s="23">
        <f t="shared" si="0"/>
        <v>4.2361111111111106E-2</v>
      </c>
      <c r="G34" s="23">
        <f t="shared" si="6"/>
        <v>0.46875</v>
      </c>
      <c r="H34" s="23">
        <f t="shared" si="7"/>
        <v>1.388888888888884E-3</v>
      </c>
      <c r="I34" s="23"/>
      <c r="J34" s="23">
        <f t="shared" si="1"/>
        <v>0.42777777777777776</v>
      </c>
      <c r="K34" s="30">
        <f>(G34-C34)+TrCeib1181520[[#This Row],[Tt_tex]]</f>
        <v>4.2361111111111127E-2</v>
      </c>
      <c r="L34" s="30">
        <f>SUMIF(B$4:$B34,TrCeib1181520[[#This Row],[BUS]],$K$4:K34)</f>
        <v>8.4722222222222254E-2</v>
      </c>
      <c r="M34" s="23">
        <f>_xlfn.IFNA(VLOOKUP(TrCeib1181520[[#This Row],[BUS]],_xlfn._xlws.SORT(VeredaTr1291621[[BUS]:[T2]],11,-1,FALSE),11,FALSE),0)</f>
        <v>0.14722222222222214</v>
      </c>
      <c r="N34" s="23">
        <f>+TrCeib1181520[[#This Row],[∑TrCeib]]+TrCeib1181520[[#This Row],[T2]]</f>
        <v>0.2319444444444444</v>
      </c>
      <c r="O34" s="23"/>
      <c r="P34" s="40"/>
      <c r="Q34"/>
      <c r="R34" s="22"/>
      <c r="S34" s="28">
        <v>14</v>
      </c>
      <c r="T34" s="23">
        <v>0.43194444444444446</v>
      </c>
      <c r="U34" s="23">
        <f t="shared" si="2"/>
        <v>1.0416666666666685E-2</v>
      </c>
      <c r="V34" s="23">
        <f>VLOOKUP(VeredaTr1291621[[#This Row],[HORA]],'OFERTA (4)'!B:F,5,TRUE)</f>
        <v>6.9444444444444441E-3</v>
      </c>
      <c r="W34" s="23">
        <f t="shared" si="8"/>
        <v>3.6805555555555557E-2</v>
      </c>
      <c r="X34" s="23">
        <f t="shared" si="9"/>
        <v>0.46875</v>
      </c>
      <c r="Y34" s="23">
        <f t="shared" si="10"/>
        <v>-3.4722222222222654E-3</v>
      </c>
      <c r="Z34" s="23"/>
      <c r="AA34" s="23">
        <f t="shared" si="3"/>
        <v>0.4284722222222222</v>
      </c>
      <c r="AB34" s="30">
        <f t="shared" si="4"/>
        <v>3.6805555555555536E-2</v>
      </c>
      <c r="AC34" s="30">
        <f>SUMIF($S$4:S34,S34,$AB$4:AB34)</f>
        <v>7.3611111111111072E-2</v>
      </c>
      <c r="AD34" s="23">
        <f>_xlfn.IFNA(VLOOKUP(VeredaTr1291621[[#This Row],[BUS]],_xlfn._xlws.SORT(TrCeib1181520[[BUS]:[T2]],11,-1,FALSE),11,FALSE),0)</f>
        <v>0.16944444444444434</v>
      </c>
      <c r="AE34" s="23">
        <f>+VeredaTr1291621[[#This Row],[∑VeredaTr]]+VeredaTr1291621[[#This Row],[T2]]</f>
        <v>0.24305555555555541</v>
      </c>
    </row>
    <row r="35" spans="1:31" x14ac:dyDescent="0.35">
      <c r="B35" s="28">
        <v>11</v>
      </c>
      <c r="C35" s="23">
        <v>0.43680555555555556</v>
      </c>
      <c r="D35" s="23">
        <f t="shared" si="5"/>
        <v>1.0416666666666685E-2</v>
      </c>
      <c r="E35" s="23">
        <f>VLOOKUP(TrCeib1181520[[#This Row],[HORA]],'OFERTA (4)'!I:M,5,TRUE)</f>
        <v>6.9444444444444441E-3</v>
      </c>
      <c r="F35" s="23">
        <f t="shared" si="0"/>
        <v>4.2361111111111106E-2</v>
      </c>
      <c r="G35" s="23">
        <f t="shared" si="6"/>
        <v>0.47916666666666669</v>
      </c>
      <c r="H35" s="23">
        <f t="shared" si="7"/>
        <v>-3.4722222222222654E-3</v>
      </c>
      <c r="I35" s="23"/>
      <c r="J35" s="23">
        <f t="shared" si="1"/>
        <v>0.43333333333333329</v>
      </c>
      <c r="K35" s="30">
        <f>(G35-C35)+TrCeib1181520[[#This Row],[Tt_tex]]</f>
        <v>4.2361111111111127E-2</v>
      </c>
      <c r="L35" s="30">
        <f>SUMIF(B$4:$B35,TrCeib1181520[[#This Row],[BUS]],$K$4:K35)</f>
        <v>8.4722222222222254E-2</v>
      </c>
      <c r="M35" s="23">
        <f>_xlfn.IFNA(VLOOKUP(TrCeib1181520[[#This Row],[BUS]],_xlfn._xlws.SORT(VeredaTr1291621[[BUS]:[T2]],11,-1,FALSE),11,FALSE),0)</f>
        <v>0.22083333333333321</v>
      </c>
      <c r="N35" s="23">
        <f>+TrCeib1181520[[#This Row],[∑TrCeib]]+TrCeib1181520[[#This Row],[T2]]</f>
        <v>0.30555555555555547</v>
      </c>
      <c r="O35" s="23"/>
      <c r="P35" s="40"/>
      <c r="Q35"/>
      <c r="R35" s="22"/>
      <c r="S35" s="28">
        <v>15</v>
      </c>
      <c r="T35" s="23">
        <v>0.44236111111111109</v>
      </c>
      <c r="U35" s="23">
        <f t="shared" si="2"/>
        <v>1.041666666666663E-2</v>
      </c>
      <c r="V35" s="23">
        <f>VLOOKUP(VeredaTr1291621[[#This Row],[HORA]],'OFERTA (4)'!B:F,5,TRUE)</f>
        <v>6.9444444444444441E-3</v>
      </c>
      <c r="W35" s="23">
        <f t="shared" si="8"/>
        <v>3.6805555555555557E-2</v>
      </c>
      <c r="X35" s="23">
        <f t="shared" si="9"/>
        <v>0.47916666666666663</v>
      </c>
      <c r="Y35" s="23">
        <f t="shared" si="10"/>
        <v>-3.4722222222222099E-3</v>
      </c>
      <c r="Z35" s="23"/>
      <c r="AA35" s="23">
        <f t="shared" si="3"/>
        <v>0.43888888888888888</v>
      </c>
      <c r="AB35" s="30">
        <f t="shared" si="4"/>
        <v>3.6805555555555536E-2</v>
      </c>
      <c r="AC35" s="30">
        <f>SUMIF($S$4:S35,S35,$AB$4:AB35)</f>
        <v>7.3611111111111072E-2</v>
      </c>
      <c r="AD35" s="23">
        <f>_xlfn.IFNA(VLOOKUP(VeredaTr1291621[[#This Row],[BUS]],_xlfn._xlws.SORT(TrCeib1181520[[BUS]:[T2]],11,-1,FALSE),11,FALSE),0)</f>
        <v>0.16944444444444434</v>
      </c>
      <c r="AE35" s="23">
        <f>+VeredaTr1291621[[#This Row],[∑VeredaTr]]+VeredaTr1291621[[#This Row],[T2]]</f>
        <v>0.24305555555555541</v>
      </c>
    </row>
    <row r="36" spans="1:31" x14ac:dyDescent="0.35">
      <c r="B36" s="28">
        <v>12</v>
      </c>
      <c r="C36" s="23">
        <v>0.44722222222222219</v>
      </c>
      <c r="D36" s="23">
        <f t="shared" si="5"/>
        <v>1.041666666666663E-2</v>
      </c>
      <c r="E36" s="23">
        <f>VLOOKUP(TrCeib1181520[[#This Row],[HORA]],'OFERTA (4)'!I:M,5,TRUE)</f>
        <v>6.9444444444444441E-3</v>
      </c>
      <c r="F36" s="23">
        <f t="shared" si="0"/>
        <v>4.2361111111111106E-2</v>
      </c>
      <c r="G36" s="23">
        <f t="shared" si="6"/>
        <v>0.48958333333333331</v>
      </c>
      <c r="H36" s="23">
        <f t="shared" si="7"/>
        <v>-3.4722222222222099E-3</v>
      </c>
      <c r="I36" s="23"/>
      <c r="J36" s="23">
        <f t="shared" si="1"/>
        <v>0.44374999999999998</v>
      </c>
      <c r="K36" s="30">
        <f>(G36-C36)+TrCeib1181520[[#This Row],[Tt_tex]]</f>
        <v>4.2361111111111127E-2</v>
      </c>
      <c r="L36" s="30">
        <f>SUMIF(B$4:$B36,TrCeib1181520[[#This Row],[BUS]],$K$4:K36)</f>
        <v>8.4722222222222254E-2</v>
      </c>
      <c r="M36" s="23">
        <f>_xlfn.IFNA(VLOOKUP(TrCeib1181520[[#This Row],[BUS]],_xlfn._xlws.SORT(VeredaTr1291621[[BUS]:[T2]],11,-1,FALSE),11,FALSE),0)</f>
        <v>0.14722222222222214</v>
      </c>
      <c r="N36" s="23">
        <f>+TrCeib1181520[[#This Row],[∑TrCeib]]+TrCeib1181520[[#This Row],[T2]]</f>
        <v>0.2319444444444444</v>
      </c>
      <c r="O36" s="23"/>
      <c r="P36" s="40"/>
      <c r="Q36"/>
      <c r="S36" s="28">
        <v>5</v>
      </c>
      <c r="T36" s="23">
        <v>0.45277777777777778</v>
      </c>
      <c r="U36" s="23">
        <f t="shared" si="2"/>
        <v>1.0416666666666685E-2</v>
      </c>
      <c r="V36" s="23">
        <f>VLOOKUP(VeredaTr1291621[[#This Row],[HORA]],'OFERTA (4)'!B:F,5,TRUE)</f>
        <v>6.9444444444444441E-3</v>
      </c>
      <c r="W36" s="23">
        <f t="shared" si="8"/>
        <v>3.6805555555555557E-2</v>
      </c>
      <c r="X36" s="23">
        <f t="shared" si="9"/>
        <v>0.48958333333333331</v>
      </c>
      <c r="Y36" s="23">
        <f t="shared" si="10"/>
        <v>-3.4722222222222654E-3</v>
      </c>
      <c r="Z36" s="23"/>
      <c r="AA36" s="23">
        <f t="shared" si="3"/>
        <v>0.44930555555555551</v>
      </c>
      <c r="AB36" s="30">
        <f t="shared" si="4"/>
        <v>3.6805555555555536E-2</v>
      </c>
      <c r="AC36" s="30">
        <f>SUMIF($S$4:S36,S36,$AB$4:AB36)</f>
        <v>0.14722222222222214</v>
      </c>
      <c r="AD36" s="23">
        <f>_xlfn.IFNA(VLOOKUP(VeredaTr1291621[[#This Row],[BUS]],_xlfn._xlws.SORT(TrCeib1181520[[BUS]:[T2]],11,-1,FALSE),11,FALSE),0)</f>
        <v>0.25416666666666665</v>
      </c>
      <c r="AE36" s="23">
        <f>+VeredaTr1291621[[#This Row],[∑VeredaTr]]+VeredaTr1291621[[#This Row],[T2]]</f>
        <v>0.4013888888888888</v>
      </c>
    </row>
    <row r="37" spans="1:31" x14ac:dyDescent="0.35">
      <c r="B37" s="28">
        <v>13</v>
      </c>
      <c r="C37" s="23">
        <v>0.45833333333333331</v>
      </c>
      <c r="D37" s="23">
        <f t="shared" si="5"/>
        <v>1.1111111111111127E-2</v>
      </c>
      <c r="E37" s="23">
        <f>VLOOKUP(TrCeib1181520[[#This Row],[HORA]],'OFERTA (4)'!I:M,5,TRUE)</f>
        <v>6.9444444444444441E-3</v>
      </c>
      <c r="F37" s="23">
        <f t="shared" si="0"/>
        <v>4.2361111111111106E-2</v>
      </c>
      <c r="G37" s="23">
        <f t="shared" si="6"/>
        <v>0.50069444444444444</v>
      </c>
      <c r="H37" s="23">
        <f t="shared" si="7"/>
        <v>-4.1666666666667074E-3</v>
      </c>
      <c r="I37" s="23"/>
      <c r="J37" s="23">
        <f t="shared" si="1"/>
        <v>0.45416666666666661</v>
      </c>
      <c r="K37" s="30">
        <f>(G37-C37)+TrCeib1181520[[#This Row],[Tt_tex]]</f>
        <v>4.2361111111111127E-2</v>
      </c>
      <c r="L37" s="30">
        <f>SUMIF(B$4:$B37,TrCeib1181520[[#This Row],[BUS]],$K$4:K37)</f>
        <v>8.4722222222222254E-2</v>
      </c>
      <c r="M37" s="23">
        <f>_xlfn.IFNA(VLOOKUP(TrCeib1181520[[#This Row],[BUS]],_xlfn._xlws.SORT(VeredaTr1291621[[BUS]:[T2]],11,-1,FALSE),11,FALSE),0)</f>
        <v>0.22083333333333321</v>
      </c>
      <c r="N37" s="23">
        <f>+TrCeib1181520[[#This Row],[∑TrCeib]]+TrCeib1181520[[#This Row],[T2]]</f>
        <v>0.30555555555555547</v>
      </c>
      <c r="O37" s="23"/>
      <c r="P37" s="40"/>
      <c r="Q37"/>
      <c r="S37" s="28">
        <v>9</v>
      </c>
      <c r="T37" s="23">
        <v>0.46319444444444446</v>
      </c>
      <c r="U37" s="23">
        <f t="shared" si="2"/>
        <v>1.0416666666666685E-2</v>
      </c>
      <c r="V37" s="23">
        <f>VLOOKUP(VeredaTr1291621[[#This Row],[HORA]],'OFERTA (4)'!B:F,5,TRUE)</f>
        <v>6.9444444444444441E-3</v>
      </c>
      <c r="W37" s="23">
        <f t="shared" si="8"/>
        <v>3.6805555555555557E-2</v>
      </c>
      <c r="X37" s="23">
        <f t="shared" si="9"/>
        <v>0.5</v>
      </c>
      <c r="Y37" s="23">
        <f t="shared" si="10"/>
        <v>-3.4722222222222654E-3</v>
      </c>
      <c r="Z37" s="23">
        <v>4.8611111111111494E-3</v>
      </c>
      <c r="AA37" s="23">
        <f>+T37+Y37</f>
        <v>0.4597222222222222</v>
      </c>
      <c r="AB37" s="30">
        <f>(X37-T37)</f>
        <v>3.6805555555555536E-2</v>
      </c>
      <c r="AC37" s="30">
        <f>SUMIF($S$4:S37,S37,$AB$4:AB37)</f>
        <v>0.11041666666666661</v>
      </c>
      <c r="AD37" s="23">
        <f>_xlfn.IFNA(VLOOKUP(VeredaTr1291621[[#This Row],[BUS]],_xlfn._xlws.SORT(TrCeib1181520[[BUS]:[T2]],11,-1,FALSE),11,FALSE),0)</f>
        <v>0.1694444444444444</v>
      </c>
      <c r="AE37" s="23">
        <f>+VeredaTr1291621[[#This Row],[∑VeredaTr]]+VeredaTr1291621[[#This Row],[T2]]</f>
        <v>0.27986111111111101</v>
      </c>
    </row>
    <row r="38" spans="1:31" x14ac:dyDescent="0.35">
      <c r="B38" s="28">
        <v>14</v>
      </c>
      <c r="C38" s="23">
        <v>0.46875</v>
      </c>
      <c r="D38" s="23">
        <f t="shared" si="5"/>
        <v>1.0416666666666685E-2</v>
      </c>
      <c r="E38" s="23">
        <f>VLOOKUP(TrCeib1181520[[#This Row],[HORA]],'OFERTA (4)'!I:M,5,TRUE)</f>
        <v>6.9444444444444441E-3</v>
      </c>
      <c r="F38" s="23">
        <f t="shared" si="0"/>
        <v>4.2361111111111106E-2</v>
      </c>
      <c r="G38" s="23">
        <f t="shared" si="6"/>
        <v>0.51111111111111107</v>
      </c>
      <c r="H38" s="23">
        <f t="shared" si="7"/>
        <v>-3.4722222222222654E-3</v>
      </c>
      <c r="I38" s="23"/>
      <c r="J38" s="23">
        <f t="shared" si="1"/>
        <v>0.46527777777777773</v>
      </c>
      <c r="K38" s="30">
        <f>(G38-C38)+TrCeib1181520[[#This Row],[Tt_tex]]</f>
        <v>4.2361111111111072E-2</v>
      </c>
      <c r="L38" s="30">
        <f>SUMIF(B$4:$B38,TrCeib1181520[[#This Row],[BUS]],$K$4:K38)</f>
        <v>8.4722222222222199E-2</v>
      </c>
      <c r="M38" s="23">
        <f>_xlfn.IFNA(VLOOKUP(TrCeib1181520[[#This Row],[BUS]],_xlfn._xlws.SORT(VeredaTr1291621[[BUS]:[T2]],11,-1,FALSE),11,FALSE),0)</f>
        <v>0.18402777777777768</v>
      </c>
      <c r="N38" s="23">
        <f>+TrCeib1181520[[#This Row],[∑TrCeib]]+TrCeib1181520[[#This Row],[T2]]</f>
        <v>0.26874999999999988</v>
      </c>
      <c r="O38" s="23"/>
      <c r="P38" s="40"/>
      <c r="Q38"/>
      <c r="S38" s="28">
        <v>6</v>
      </c>
      <c r="T38" s="23">
        <v>0.47361111111111115</v>
      </c>
      <c r="U38" s="23">
        <f t="shared" si="2"/>
        <v>1.0416666666666685E-2</v>
      </c>
      <c r="V38" s="23">
        <f>VLOOKUP(VeredaTr1291621[[#This Row],[HORA]],'OFERTA (4)'!B:F,5,TRUE)</f>
        <v>6.9444444444444441E-3</v>
      </c>
      <c r="W38" s="23">
        <f t="shared" si="8"/>
        <v>3.6805555555555557E-2</v>
      </c>
      <c r="X38" s="23">
        <f t="shared" si="9"/>
        <v>0.51041666666666674</v>
      </c>
      <c r="Y38" s="23">
        <f t="shared" si="10"/>
        <v>-3.4722222222222654E-3</v>
      </c>
      <c r="Z38" s="23">
        <v>1.0416666666666685E-2</v>
      </c>
      <c r="AA38" s="23">
        <f t="shared" si="3"/>
        <v>0.47013888888888888</v>
      </c>
      <c r="AB38" s="30">
        <f t="shared" si="4"/>
        <v>3.6805555555555591E-2</v>
      </c>
      <c r="AC38" s="30">
        <f>SUMIF($S$4:S38,S38,$AB$4:AB38)</f>
        <v>0.14722222222222223</v>
      </c>
      <c r="AD38" s="23">
        <f>_xlfn.IFNA(VLOOKUP(VeredaTr1291621[[#This Row],[BUS]],_xlfn._xlws.SORT(TrCeib1181520[[BUS]:[T2]],11,-1,FALSE),11,FALSE),0)</f>
        <v>0.21180555555555552</v>
      </c>
      <c r="AE38" s="23">
        <f>+VeredaTr1291621[[#This Row],[∑VeredaTr]]+VeredaTr1291621[[#This Row],[T2]]</f>
        <v>0.35902777777777772</v>
      </c>
    </row>
    <row r="39" spans="1:31" x14ac:dyDescent="0.35">
      <c r="B39" s="28">
        <v>15</v>
      </c>
      <c r="C39" s="23">
        <v>0.47916666666666663</v>
      </c>
      <c r="D39" s="23">
        <f t="shared" si="5"/>
        <v>1.041666666666663E-2</v>
      </c>
      <c r="E39" s="23">
        <f>VLOOKUP(TrCeib1181520[[#This Row],[HORA]],'OFERTA (4)'!I:M,5,TRUE)</f>
        <v>6.9444444444444441E-3</v>
      </c>
      <c r="F39" s="23">
        <f t="shared" si="0"/>
        <v>4.2361111111111106E-2</v>
      </c>
      <c r="G39" s="23">
        <f t="shared" si="6"/>
        <v>0.5215277777777777</v>
      </c>
      <c r="H39" s="23">
        <f t="shared" si="7"/>
        <v>-3.4722222222222099E-3</v>
      </c>
      <c r="I39" s="23"/>
      <c r="J39" s="23">
        <f t="shared" si="1"/>
        <v>0.47569444444444442</v>
      </c>
      <c r="K39" s="30">
        <f>(G39-C39)+TrCeib1181520[[#This Row],[Tt_tex]]</f>
        <v>4.2361111111111072E-2</v>
      </c>
      <c r="L39" s="30">
        <f>SUMIF(B$4:$B39,TrCeib1181520[[#This Row],[BUS]],$K$4:K39)</f>
        <v>8.4722222222222199E-2</v>
      </c>
      <c r="M39" s="23">
        <f>_xlfn.IFNA(VLOOKUP(TrCeib1181520[[#This Row],[BUS]],_xlfn._xlws.SORT(VeredaTr1291621[[BUS]:[T2]],11,-1,FALSE),11,FALSE),0)</f>
        <v>0.18402777777777768</v>
      </c>
      <c r="N39" s="23">
        <f>+TrCeib1181520[[#This Row],[∑TrCeib]]+TrCeib1181520[[#This Row],[T2]]</f>
        <v>0.26874999999999988</v>
      </c>
      <c r="O39" s="23"/>
      <c r="P39" s="40"/>
      <c r="Q39"/>
      <c r="S39" s="28">
        <v>10</v>
      </c>
      <c r="T39" s="23">
        <v>0.48402777777777783</v>
      </c>
      <c r="U39" s="23">
        <f>T39-T38</f>
        <v>1.0416666666666685E-2</v>
      </c>
      <c r="V39" s="23">
        <f>VLOOKUP(VeredaTr1291621[[#This Row],[HORA]],'OFERTA (4)'!B:F,5,TRUE)</f>
        <v>6.9444444444444441E-3</v>
      </c>
      <c r="W39" s="23">
        <f t="shared" si="8"/>
        <v>3.6805555555555557E-2</v>
      </c>
      <c r="X39" s="23">
        <f t="shared" si="9"/>
        <v>0.52083333333333337</v>
      </c>
      <c r="Y39" s="23">
        <f>+(T38+V39)-T39</f>
        <v>-3.4722222222222654E-3</v>
      </c>
      <c r="Z39" s="23">
        <v>1.5277777777777835E-2</v>
      </c>
      <c r="AA39" s="23">
        <f t="shared" si="3"/>
        <v>0.48055555555555557</v>
      </c>
      <c r="AB39" s="30">
        <f t="shared" si="4"/>
        <v>3.6805555555555536E-2</v>
      </c>
      <c r="AC39" s="30">
        <f>SUMIF($S$4:S39,S39,$AB$4:AB39)</f>
        <v>0.11041666666666661</v>
      </c>
      <c r="AD39" s="23">
        <f>_xlfn.IFNA(VLOOKUP(VeredaTr1291621[[#This Row],[BUS]],_xlfn._xlws.SORT(TrCeib1181520[[BUS]:[T2]],11,-1,FALSE),11,FALSE),0)</f>
        <v>0.1694444444444444</v>
      </c>
      <c r="AE39" s="23">
        <f>+VeredaTr1291621[[#This Row],[∑VeredaTr]]+VeredaTr1291621[[#This Row],[T2]]</f>
        <v>0.27986111111111101</v>
      </c>
    </row>
    <row r="40" spans="1:31" x14ac:dyDescent="0.35">
      <c r="B40" s="28">
        <v>5</v>
      </c>
      <c r="C40" s="23">
        <v>0.48958333333333331</v>
      </c>
      <c r="D40" s="23">
        <f t="shared" si="5"/>
        <v>1.0416666666666685E-2</v>
      </c>
      <c r="E40" s="23">
        <f>VLOOKUP(TrCeib1181520[[#This Row],[HORA]],'OFERTA (4)'!I:M,5,TRUE)</f>
        <v>6.9444444444444441E-3</v>
      </c>
      <c r="F40" s="23">
        <f t="shared" si="0"/>
        <v>4.2361111111111106E-2</v>
      </c>
      <c r="G40" s="23">
        <f t="shared" si="6"/>
        <v>0.53194444444444444</v>
      </c>
      <c r="H40" s="23">
        <f t="shared" si="7"/>
        <v>-3.4722222222222654E-3</v>
      </c>
      <c r="I40" s="23"/>
      <c r="J40" s="23">
        <f>+C40+H40</f>
        <v>0.48611111111111105</v>
      </c>
      <c r="K40" s="30">
        <f>(G40-C40)+TrCeib1181520[[#This Row],[Tt_tex]]</f>
        <v>4.2361111111111127E-2</v>
      </c>
      <c r="L40" s="30">
        <f>SUMIF(B$4:$B40,TrCeib1181520[[#This Row],[BUS]],$K$4:K40)</f>
        <v>0.16944444444444451</v>
      </c>
      <c r="M40" s="23">
        <f>_xlfn.IFNA(VLOOKUP(TrCeib1181520[[#This Row],[BUS]],_xlfn._xlws.SORT(VeredaTr1291621[[BUS]:[T2]],11,-1,FALSE),11,FALSE),0)</f>
        <v>0.25763888888888875</v>
      </c>
      <c r="N40" s="23">
        <f>+TrCeib1181520[[#This Row],[∑TrCeib]]+TrCeib1181520[[#This Row],[T2]]</f>
        <v>0.42708333333333326</v>
      </c>
      <c r="O40" s="23"/>
      <c r="P40" s="40"/>
      <c r="Q40"/>
      <c r="S40" s="28">
        <v>11</v>
      </c>
      <c r="T40" s="23">
        <v>0.48958333333333337</v>
      </c>
      <c r="U40" s="23">
        <f t="shared" ref="U40:U64" si="11">T40-T39</f>
        <v>5.5555555555555358E-3</v>
      </c>
      <c r="V40" s="23">
        <f>VLOOKUP(VeredaTr1291621[[#This Row],[HORA]],'OFERTA (4)'!B:F,5,TRUE)</f>
        <v>6.9444444444444441E-3</v>
      </c>
      <c r="W40" s="23">
        <f t="shared" si="8"/>
        <v>3.6805555555555557E-2</v>
      </c>
      <c r="X40" s="23">
        <f t="shared" si="9"/>
        <v>0.52638888888888891</v>
      </c>
      <c r="Y40" s="23">
        <f t="shared" ref="Y40:Y64" si="12">+(T39+V40)-T40</f>
        <v>1.388888888888884E-3</v>
      </c>
      <c r="Z40" s="23">
        <v>1.0416666666666685E-2</v>
      </c>
      <c r="AA40" s="23">
        <f t="shared" si="3"/>
        <v>0.49097222222222225</v>
      </c>
      <c r="AB40" s="30">
        <f t="shared" si="4"/>
        <v>3.6805555555555536E-2</v>
      </c>
      <c r="AC40" s="30">
        <f>SUMIF($S$4:S40,S40,$AB$4:AB40)</f>
        <v>0.11041666666666661</v>
      </c>
      <c r="AD40" s="23">
        <f>_xlfn.IFNA(VLOOKUP(VeredaTr1291621[[#This Row],[BUS]],_xlfn._xlws.SORT(TrCeib1181520[[BUS]:[T2]],11,-1,FALSE),11,FALSE),0)</f>
        <v>0.25416666666666654</v>
      </c>
      <c r="AE40" s="23">
        <f>+VeredaTr1291621[[#This Row],[∑VeredaTr]]+VeredaTr1291621[[#This Row],[T2]]</f>
        <v>0.36458333333333315</v>
      </c>
    </row>
    <row r="41" spans="1:31" x14ac:dyDescent="0.35">
      <c r="A41" t="s">
        <v>63</v>
      </c>
      <c r="B41" s="28">
        <v>4</v>
      </c>
      <c r="C41" s="23">
        <v>0.49513888888888885</v>
      </c>
      <c r="D41" s="23">
        <f t="shared" si="5"/>
        <v>5.5555555555555358E-3</v>
      </c>
      <c r="E41" s="23">
        <f>VLOOKUP(TrCeib1181520[[#This Row],[HORA]],'OFERTA (4)'!I:M,5,TRUE)</f>
        <v>6.9444444444444441E-3</v>
      </c>
      <c r="F41" s="23">
        <f t="shared" si="0"/>
        <v>4.2361111111111106E-2</v>
      </c>
      <c r="G41" s="23">
        <f t="shared" si="6"/>
        <v>0.53749999999999998</v>
      </c>
      <c r="H41" s="23">
        <f t="shared" si="7"/>
        <v>1.388888888888884E-3</v>
      </c>
      <c r="I41" s="23"/>
      <c r="J41" s="23">
        <f>+C41+H41</f>
        <v>0.49652777777777773</v>
      </c>
      <c r="K41" s="30">
        <f>(G41-C41)+TrCeib1181520[[#This Row],[Tt_tex]]</f>
        <v>4.2361111111111127E-2</v>
      </c>
      <c r="L41" s="30">
        <f>SUMIF(B$4:$B41,TrCeib1181520[[#This Row],[BUS]],$K$4:K41)</f>
        <v>0.16944444444444451</v>
      </c>
      <c r="M41" s="23">
        <f>_xlfn.IFNA(VLOOKUP(TrCeib1181520[[#This Row],[BUS]],_xlfn._xlws.SORT(VeredaTr1291621[[BUS]:[T2]],11,-1,FALSE),11,FALSE),0)</f>
        <v>0.22083333333333321</v>
      </c>
      <c r="N41" s="23">
        <f>+TrCeib1181520[[#This Row],[∑TrCeib]]+TrCeib1181520[[#This Row],[T2]]</f>
        <v>0.39027777777777772</v>
      </c>
      <c r="O41" s="23"/>
      <c r="P41" s="40"/>
      <c r="Q41"/>
      <c r="S41" s="28">
        <v>12</v>
      </c>
      <c r="T41" s="23">
        <v>0.49513888888888891</v>
      </c>
      <c r="U41" s="23">
        <f t="shared" si="11"/>
        <v>5.5555555555555358E-3</v>
      </c>
      <c r="V41" s="23">
        <f>VLOOKUP(VeredaTr1291621[[#This Row],[HORA]],'OFERTA (4)'!B:F,5,TRUE)</f>
        <v>6.9444444444444441E-3</v>
      </c>
      <c r="W41" s="23">
        <f t="shared" si="8"/>
        <v>3.6805555555555557E-2</v>
      </c>
      <c r="X41" s="23">
        <f t="shared" si="9"/>
        <v>0.53194444444444444</v>
      </c>
      <c r="Y41" s="23">
        <f t="shared" si="12"/>
        <v>1.388888888888884E-3</v>
      </c>
      <c r="Z41" s="23">
        <v>5.5555555555555913E-3</v>
      </c>
      <c r="AA41" s="23">
        <f t="shared" si="3"/>
        <v>0.49652777777777779</v>
      </c>
      <c r="AB41" s="30">
        <f t="shared" si="4"/>
        <v>3.6805555555555536E-2</v>
      </c>
      <c r="AC41" s="30">
        <f>SUMIF($S$4:S41,S41,$AB$4:AB41)</f>
        <v>0.11041666666666661</v>
      </c>
      <c r="AD41" s="23">
        <f>_xlfn.IFNA(VLOOKUP(VeredaTr1291621[[#This Row],[BUS]],_xlfn._xlws.SORT(TrCeib1181520[[BUS]:[T2]],11,-1,FALSE),11,FALSE),0)</f>
        <v>0.1694444444444444</v>
      </c>
      <c r="AE41" s="23">
        <f>+VeredaTr1291621[[#This Row],[∑VeredaTr]]+VeredaTr1291621[[#This Row],[T2]]</f>
        <v>0.27986111111111101</v>
      </c>
    </row>
    <row r="42" spans="1:31" x14ac:dyDescent="0.35">
      <c r="B42" s="28">
        <v>9</v>
      </c>
      <c r="C42" s="23">
        <v>0.5</v>
      </c>
      <c r="D42" s="23">
        <f t="shared" si="5"/>
        <v>4.8611111111111494E-3</v>
      </c>
      <c r="E42" s="23">
        <f>VLOOKUP(TrCeib1181520[[#This Row],[HORA]],'OFERTA (4)'!I:M,5,TRUE)</f>
        <v>6.9444444444444441E-3</v>
      </c>
      <c r="F42" s="23">
        <f t="shared" si="0"/>
        <v>4.2361111111111106E-2</v>
      </c>
      <c r="G42" s="23">
        <f t="shared" si="6"/>
        <v>0.54236111111111107</v>
      </c>
      <c r="H42" s="23">
        <f t="shared" si="7"/>
        <v>2.0833333333333259E-3</v>
      </c>
      <c r="I42" s="23"/>
      <c r="J42" s="23">
        <f t="shared" si="1"/>
        <v>0.50208333333333333</v>
      </c>
      <c r="K42" s="30">
        <f>(G42-C42)+TrCeib1181520[[#This Row],[Tt_tex]]</f>
        <v>4.2361111111111072E-2</v>
      </c>
      <c r="L42" s="30">
        <f>SUMIF(B$4:$B42,TrCeib1181520[[#This Row],[BUS]],$K$4:K42)</f>
        <v>0.12708333333333333</v>
      </c>
      <c r="M42" s="23">
        <f>_xlfn.IFNA(VLOOKUP(TrCeib1181520[[#This Row],[BUS]],_xlfn._xlws.SORT(VeredaTr1291621[[BUS]:[T2]],11,-1,FALSE),11,FALSE),0)</f>
        <v>0.14722222222222214</v>
      </c>
      <c r="N42" s="23">
        <f>+TrCeib1181520[[#This Row],[∑TrCeib]]+TrCeib1181520[[#This Row],[T2]]</f>
        <v>0.27430555555555547</v>
      </c>
      <c r="O42" s="23"/>
      <c r="P42" s="40"/>
      <c r="Q42"/>
      <c r="S42" s="28">
        <v>13</v>
      </c>
      <c r="T42" s="23">
        <v>0.50069444444444444</v>
      </c>
      <c r="U42" s="23">
        <f t="shared" si="11"/>
        <v>5.5555555555555358E-3</v>
      </c>
      <c r="V42" s="23">
        <f>VLOOKUP(VeredaTr1291621[[#This Row],[HORA]],'OFERTA (4)'!B:F,5,TRUE)</f>
        <v>6.9444444444444441E-3</v>
      </c>
      <c r="W42" s="23">
        <f t="shared" si="8"/>
        <v>3.6805555555555557E-2</v>
      </c>
      <c r="X42" s="23">
        <f t="shared" si="9"/>
        <v>0.53749999999999998</v>
      </c>
      <c r="Y42" s="23">
        <f t="shared" si="12"/>
        <v>1.388888888888884E-3</v>
      </c>
      <c r="Z42" s="23"/>
      <c r="AA42" s="23">
        <f t="shared" si="3"/>
        <v>0.50208333333333333</v>
      </c>
      <c r="AB42" s="30">
        <f t="shared" si="4"/>
        <v>3.6805555555555536E-2</v>
      </c>
      <c r="AC42" s="30">
        <f>SUMIF($S$4:S42,S42,$AB$4:AB42)</f>
        <v>0.11041666666666661</v>
      </c>
      <c r="AD42" s="23">
        <f>_xlfn.IFNA(VLOOKUP(VeredaTr1291621[[#This Row],[BUS]],_xlfn._xlws.SORT(TrCeib1181520[[BUS]:[T2]],11,-1,FALSE),11,FALSE),0)</f>
        <v>0.25416666666666654</v>
      </c>
      <c r="AE42" s="23">
        <f>+VeredaTr1291621[[#This Row],[∑VeredaTr]]+VeredaTr1291621[[#This Row],[T2]]</f>
        <v>0.36458333333333315</v>
      </c>
    </row>
    <row r="43" spans="1:31" x14ac:dyDescent="0.35">
      <c r="A43" t="s">
        <v>63</v>
      </c>
      <c r="B43" s="28">
        <v>16</v>
      </c>
      <c r="C43" s="23">
        <v>0.50555555555555554</v>
      </c>
      <c r="D43" s="23">
        <f t="shared" si="5"/>
        <v>5.5555555555555358E-3</v>
      </c>
      <c r="E43" s="23">
        <f>VLOOKUP(TrCeib1181520[[#This Row],[HORA]],'OFERTA (4)'!I:M,5,TRUE)</f>
        <v>6.9444444444444441E-3</v>
      </c>
      <c r="F43" s="23">
        <f t="shared" si="0"/>
        <v>4.2361111111111106E-2</v>
      </c>
      <c r="G43" s="23">
        <f t="shared" si="6"/>
        <v>0.54791666666666661</v>
      </c>
      <c r="H43" s="23">
        <f t="shared" si="7"/>
        <v>1.388888888888884E-3</v>
      </c>
      <c r="I43" s="23"/>
      <c r="J43" s="23">
        <f>+C43+H43</f>
        <v>0.50694444444444442</v>
      </c>
      <c r="K43" s="30">
        <f>(G43-C43)+TrCeib1181520[[#This Row],[Tt_tex]]</f>
        <v>4.2361111111111072E-2</v>
      </c>
      <c r="L43" s="30">
        <f>SUMIF(B$4:$B43,TrCeib1181520[[#This Row],[BUS]],$K$4:K43)</f>
        <v>4.2361111111111072E-2</v>
      </c>
      <c r="M43" s="23">
        <f>_xlfn.IFNA(VLOOKUP(TrCeib1181520[[#This Row],[BUS]],_xlfn._xlws.SORT(VeredaTr1291621[[BUS]:[T2]],11,-1,FALSE),11,FALSE),0)</f>
        <v>0.11041666666666661</v>
      </c>
      <c r="N43" s="23">
        <f>+TrCeib1181520[[#This Row],[∑TrCeib]]+TrCeib1181520[[#This Row],[T2]]</f>
        <v>0.15277777777777768</v>
      </c>
      <c r="O43" s="23"/>
      <c r="P43" s="40"/>
      <c r="Q43"/>
      <c r="R43" t="s">
        <v>63</v>
      </c>
      <c r="S43" s="28">
        <v>7</v>
      </c>
      <c r="T43" s="23">
        <v>0.50624999999999998</v>
      </c>
      <c r="U43" s="23">
        <f t="shared" si="11"/>
        <v>5.5555555555555358E-3</v>
      </c>
      <c r="V43" s="23">
        <f>VLOOKUP(VeredaTr1291621[[#This Row],[HORA]],'OFERTA (4)'!B:F,5,TRUE)</f>
        <v>6.9444444444444441E-3</v>
      </c>
      <c r="W43" s="23">
        <f t="shared" si="8"/>
        <v>3.6805555555555557E-2</v>
      </c>
      <c r="X43" s="23">
        <f t="shared" si="9"/>
        <v>0.54305555555555551</v>
      </c>
      <c r="Y43" s="23">
        <f t="shared" si="12"/>
        <v>1.388888888888884E-3</v>
      </c>
      <c r="Z43" s="23"/>
      <c r="AA43" s="23">
        <f>+T43+Y43</f>
        <v>0.50763888888888886</v>
      </c>
      <c r="AB43" s="30">
        <f>(X43-T43)</f>
        <v>3.6805555555555536E-2</v>
      </c>
      <c r="AC43" s="30">
        <f>SUMIF($S$4:S43,S43,$AB$4:AB43)</f>
        <v>0.11041666666666664</v>
      </c>
      <c r="AD43" s="23">
        <f>_xlfn.IFNA(VLOOKUP(VeredaTr1291621[[#This Row],[BUS]],_xlfn._xlws.SORT(TrCeib1181520[[BUS]:[T2]],11,-1,FALSE),11,FALSE),0)</f>
        <v>0.25416666666666654</v>
      </c>
      <c r="AE43" s="23">
        <f>+VeredaTr1291621[[#This Row],[∑VeredaTr]]+VeredaTr1291621[[#This Row],[T2]]</f>
        <v>0.36458333333333315</v>
      </c>
    </row>
    <row r="44" spans="1:31" x14ac:dyDescent="0.35">
      <c r="B44" s="28">
        <v>6</v>
      </c>
      <c r="C44" s="23">
        <v>0.51041666666666674</v>
      </c>
      <c r="D44" s="23">
        <f t="shared" si="5"/>
        <v>4.8611111111112049E-3</v>
      </c>
      <c r="E44" s="23">
        <f>VLOOKUP(TrCeib1181520[[#This Row],[HORA]],'OFERTA (4)'!I:M,5,TRUE)</f>
        <v>6.9444444444444441E-3</v>
      </c>
      <c r="F44" s="23">
        <f t="shared" si="0"/>
        <v>4.2361111111111106E-2</v>
      </c>
      <c r="G44" s="23">
        <f t="shared" si="6"/>
        <v>0.55277777777777781</v>
      </c>
      <c r="H44" s="23">
        <f t="shared" si="7"/>
        <v>2.0833333333332149E-3</v>
      </c>
      <c r="I44" s="23"/>
      <c r="J44" s="23">
        <f t="shared" si="1"/>
        <v>0.51249999999999996</v>
      </c>
      <c r="K44" s="30">
        <f>(G44-C44)+TrCeib1181520[[#This Row],[Tt_tex]]</f>
        <v>4.2361111111111072E-2</v>
      </c>
      <c r="L44" s="30">
        <f>SUMIF(B$4:$B44,TrCeib1181520[[#This Row],[BUS]],$K$4:K44)</f>
        <v>0.16944444444444445</v>
      </c>
      <c r="M44" s="23">
        <f>_xlfn.IFNA(VLOOKUP(TrCeib1181520[[#This Row],[BUS]],_xlfn._xlws.SORT(VeredaTr1291621[[BUS]:[T2]],11,-1,FALSE),11,FALSE),0)</f>
        <v>0.18402777777777776</v>
      </c>
      <c r="N44" s="23">
        <f>+TrCeib1181520[[#This Row],[∑TrCeib]]+TrCeib1181520[[#This Row],[T2]]</f>
        <v>0.35347222222222219</v>
      </c>
      <c r="O44" s="23"/>
      <c r="P44"/>
      <c r="Q44"/>
      <c r="R44" t="s">
        <v>63</v>
      </c>
      <c r="S44" s="28">
        <v>8</v>
      </c>
      <c r="T44" s="23">
        <v>0.51180555555555551</v>
      </c>
      <c r="U44" s="23">
        <f t="shared" si="11"/>
        <v>5.5555555555555358E-3</v>
      </c>
      <c r="V44" s="23">
        <f>VLOOKUP(VeredaTr1291621[[#This Row],[HORA]],'OFERTA (4)'!B:F,5,TRUE)</f>
        <v>6.9444444444444441E-3</v>
      </c>
      <c r="W44" s="23">
        <f t="shared" si="8"/>
        <v>3.6805555555555557E-2</v>
      </c>
      <c r="X44" s="23">
        <f t="shared" si="9"/>
        <v>0.54861111111111105</v>
      </c>
      <c r="Y44" s="23">
        <f t="shared" si="12"/>
        <v>1.388888888888884E-3</v>
      </c>
      <c r="Z44" s="23"/>
      <c r="AA44" s="23">
        <f>+T44+Y44</f>
        <v>0.5131944444444444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_xlfn.IFNA(VLOOKUP(VeredaTr1291621[[#This Row],[BUS]],_xlfn._xlws.SORT(TrCeib1181520[[BUS]:[T2]],11,-1,FALSE),11,FALSE),0)</f>
        <v>0.21180555555555547</v>
      </c>
      <c r="AE44" s="23">
        <f>+VeredaTr1291621[[#This Row],[∑VeredaTr]]+VeredaTr1291621[[#This Row],[T2]]</f>
        <v>0.32222222222222208</v>
      </c>
    </row>
    <row r="45" spans="1:31" x14ac:dyDescent="0.35">
      <c r="A45" t="s">
        <v>63</v>
      </c>
      <c r="B45" s="28">
        <v>17</v>
      </c>
      <c r="C45" s="23">
        <v>0.51597222222222217</v>
      </c>
      <c r="D45" s="23">
        <f t="shared" si="5"/>
        <v>5.5555555555554248E-3</v>
      </c>
      <c r="E45" s="23">
        <f>VLOOKUP(TrCeib1181520[[#This Row],[HORA]],'OFERTA (4)'!I:M,5,TRUE)</f>
        <v>6.9444444444444441E-3</v>
      </c>
      <c r="F45" s="23">
        <f t="shared" si="0"/>
        <v>4.2361111111111106E-2</v>
      </c>
      <c r="G45" s="23">
        <f t="shared" si="6"/>
        <v>0.55833333333333324</v>
      </c>
      <c r="H45" s="23">
        <f t="shared" si="7"/>
        <v>1.388888888888995E-3</v>
      </c>
      <c r="I45" s="23"/>
      <c r="J45" s="23">
        <f>+C45+H45</f>
        <v>0.51736111111111116</v>
      </c>
      <c r="K45" s="30">
        <f>(G45-C45)+TrCeib1181520[[#This Row],[Tt_tex]]</f>
        <v>4.2361111111111072E-2</v>
      </c>
      <c r="L45" s="30">
        <f>SUMIF(B$4:$B45,TrCeib1181520[[#This Row],[BUS]],$K$4:K45)</f>
        <v>4.2361111111111072E-2</v>
      </c>
      <c r="M45" s="23">
        <f>_xlfn.IFNA(VLOOKUP(TrCeib1181520[[#This Row],[BUS]],_xlfn._xlws.SORT(VeredaTr1291621[[BUS]:[T2]],11,-1,FALSE),11,FALSE),0)</f>
        <v>0.11041666666666661</v>
      </c>
      <c r="N45" s="23">
        <f>+TrCeib1181520[[#This Row],[∑TrCeib]]+TrCeib1181520[[#This Row],[T2]]</f>
        <v>0.15277777777777768</v>
      </c>
      <c r="O45" s="23"/>
      <c r="P45"/>
      <c r="Q45"/>
      <c r="R45" t="s">
        <v>63</v>
      </c>
      <c r="S45" s="28">
        <v>1</v>
      </c>
      <c r="T45" s="23">
        <v>0.51736111111111105</v>
      </c>
      <c r="U45" s="23">
        <f t="shared" si="11"/>
        <v>5.5555555555555358E-3</v>
      </c>
      <c r="V45" s="23">
        <f>VLOOKUP(VeredaTr1291621[[#This Row],[HORA]],'OFERTA (4)'!B:F,5,TRUE)</f>
        <v>6.9444444444444441E-3</v>
      </c>
      <c r="W45" s="23">
        <f t="shared" si="8"/>
        <v>3.6805555555555557E-2</v>
      </c>
      <c r="X45" s="23">
        <f t="shared" si="9"/>
        <v>0.55416666666666659</v>
      </c>
      <c r="Y45" s="23">
        <f t="shared" si="12"/>
        <v>1.388888888888884E-3</v>
      </c>
      <c r="Z45" s="23"/>
      <c r="AA45" s="23">
        <f>+T45+Y45</f>
        <v>0.51874999999999993</v>
      </c>
      <c r="AB45" s="30">
        <f>(X45-T45)</f>
        <v>3.6805555555555536E-2</v>
      </c>
      <c r="AC45" s="30">
        <f>SUMIF($S$4:S45,S45,$AB$4:AB45)</f>
        <v>0.11041666666666661</v>
      </c>
      <c r="AD45" s="23">
        <f>_xlfn.IFNA(VLOOKUP(VeredaTr1291621[[#This Row],[BUS]],_xlfn._xlws.SORT(TrCeib1181520[[BUS]:[T2]],11,-1,FALSE),11,FALSE),0)</f>
        <v>0.2541666666666666</v>
      </c>
      <c r="AE45" s="23">
        <f>+VeredaTr1291621[[#This Row],[∑VeredaTr]]+VeredaTr1291621[[#This Row],[T2]]</f>
        <v>0.3645833333333332</v>
      </c>
    </row>
    <row r="46" spans="1:31" x14ac:dyDescent="0.35">
      <c r="B46" s="28">
        <v>10</v>
      </c>
      <c r="C46" s="23">
        <v>0.52083333333333337</v>
      </c>
      <c r="D46" s="23">
        <f t="shared" si="5"/>
        <v>4.8611111111112049E-3</v>
      </c>
      <c r="E46" s="23">
        <f>VLOOKUP(TrCeib1181520[[#This Row],[HORA]],'OFERTA (4)'!I:M,5,TRUE)</f>
        <v>6.9444444444444441E-3</v>
      </c>
      <c r="F46" s="23">
        <f t="shared" si="0"/>
        <v>4.2361111111111106E-2</v>
      </c>
      <c r="G46" s="23">
        <f t="shared" si="6"/>
        <v>0.56319444444444444</v>
      </c>
      <c r="H46" s="23">
        <f t="shared" si="7"/>
        <v>2.0833333333332149E-3</v>
      </c>
      <c r="I46" s="23"/>
      <c r="J46" s="23">
        <f>+C46+H46</f>
        <v>0.52291666666666659</v>
      </c>
      <c r="K46" s="30">
        <f>(G46-C46)+TrCeib1181520[[#This Row],[Tt_tex]]</f>
        <v>4.2361111111111072E-2</v>
      </c>
      <c r="L46" s="30">
        <f>SUMIF(B$4:$B46,TrCeib1181520[[#This Row],[BUS]],$K$4:K46)</f>
        <v>0.12708333333333333</v>
      </c>
      <c r="M46" s="23">
        <f>_xlfn.IFNA(VLOOKUP(TrCeib1181520[[#This Row],[BUS]],_xlfn._xlws.SORT(VeredaTr1291621[[BUS]:[T2]],11,-1,FALSE),11,FALSE),0)</f>
        <v>0.14722222222222214</v>
      </c>
      <c r="N46" s="23">
        <f>+TrCeib1181520[[#This Row],[∑TrCeib]]+TrCeib1181520[[#This Row],[T2]]</f>
        <v>0.27430555555555547</v>
      </c>
      <c r="O46" s="23"/>
      <c r="P46"/>
      <c r="Q46"/>
      <c r="R46" t="s">
        <v>63</v>
      </c>
      <c r="S46" s="28">
        <v>2</v>
      </c>
      <c r="T46" s="23">
        <v>0.5229166666666667</v>
      </c>
      <c r="U46" s="23">
        <f t="shared" si="11"/>
        <v>5.5555555555556468E-3</v>
      </c>
      <c r="V46" s="23">
        <f>VLOOKUP(VeredaTr1291621[[#This Row],[HORA]],'OFERTA (4)'!B:F,5,TRUE)</f>
        <v>6.9444444444444441E-3</v>
      </c>
      <c r="W46" s="23">
        <f t="shared" si="8"/>
        <v>3.6805555555555557E-2</v>
      </c>
      <c r="X46" s="23">
        <f t="shared" si="9"/>
        <v>0.55972222222222223</v>
      </c>
      <c r="Y46" s="23">
        <f t="shared" si="12"/>
        <v>1.3888888888887729E-3</v>
      </c>
      <c r="Z46" s="23"/>
      <c r="AA46" s="23">
        <f>+T46+Y46</f>
        <v>0.52430555555555547</v>
      </c>
      <c r="AB46" s="30">
        <f>(X46-T46)</f>
        <v>3.6805555555555536E-2</v>
      </c>
      <c r="AC46" s="30">
        <f>SUMIF($S$4:S46,S46,$AB$4:AB46)</f>
        <v>0.11041666666666661</v>
      </c>
      <c r="AD46" s="23">
        <f>_xlfn.IFNA(VLOOKUP(VeredaTr1291621[[#This Row],[BUS]],_xlfn._xlws.SORT(TrCeib1181520[[BUS]:[T2]],11,-1,FALSE),11,FALSE),0)</f>
        <v>0.25416666666666654</v>
      </c>
      <c r="AE46" s="23">
        <f>+VeredaTr1291621[[#This Row],[∑VeredaTr]]+VeredaTr1291621[[#This Row],[T2]]</f>
        <v>0.36458333333333315</v>
      </c>
    </row>
    <row r="47" spans="1:31" x14ac:dyDescent="0.35">
      <c r="B47" s="28">
        <v>11</v>
      </c>
      <c r="C47" s="23">
        <v>0.52638888888888891</v>
      </c>
      <c r="D47" s="23">
        <f t="shared" si="5"/>
        <v>5.5555555555555358E-3</v>
      </c>
      <c r="E47" s="23">
        <f>VLOOKUP(TrCeib1181520[[#This Row],[HORA]],'OFERTA (4)'!I:M,5,TRUE)</f>
        <v>6.9444444444444441E-3</v>
      </c>
      <c r="F47" s="23">
        <f t="shared" si="0"/>
        <v>4.2361111111111106E-2</v>
      </c>
      <c r="G47" s="23">
        <f t="shared" si="6"/>
        <v>0.56874999999999998</v>
      </c>
      <c r="H47" s="23">
        <f t="shared" si="7"/>
        <v>1.388888888888884E-3</v>
      </c>
      <c r="I47" s="23"/>
      <c r="J47" s="23">
        <f t="shared" si="1"/>
        <v>0.52777777777777779</v>
      </c>
      <c r="K47" s="30">
        <f>(G47-C47)+TrCeib1181520[[#This Row],[Tt_tex]]</f>
        <v>4.2361111111111072E-2</v>
      </c>
      <c r="L47" s="30">
        <f>SUMIF(B$4:$B47,TrCeib1181520[[#This Row],[BUS]],$K$4:K47)</f>
        <v>0.12708333333333333</v>
      </c>
      <c r="M47" s="23">
        <f>_xlfn.IFNA(VLOOKUP(TrCeib1181520[[#This Row],[BUS]],_xlfn._xlws.SORT(VeredaTr1291621[[BUS]:[T2]],11,-1,FALSE),11,FALSE),0)</f>
        <v>0.22083333333333321</v>
      </c>
      <c r="N47" s="23">
        <f>+TrCeib1181520[[#This Row],[∑TrCeib]]+TrCeib1181520[[#This Row],[T2]]</f>
        <v>0.34791666666666654</v>
      </c>
      <c r="O47" s="23"/>
      <c r="P47"/>
      <c r="Q47"/>
      <c r="S47" s="28">
        <v>14</v>
      </c>
      <c r="T47" s="23">
        <v>0.52847222222222223</v>
      </c>
      <c r="U47" s="23">
        <f t="shared" si="11"/>
        <v>5.5555555555555358E-3</v>
      </c>
      <c r="V47" s="23">
        <f>VLOOKUP(VeredaTr1291621[[#This Row],[HORA]],'OFERTA (4)'!B:F,5,TRUE)</f>
        <v>6.9444444444444441E-3</v>
      </c>
      <c r="W47" s="23">
        <f t="shared" si="8"/>
        <v>3.6805555555555557E-2</v>
      </c>
      <c r="X47" s="23">
        <f t="shared" si="9"/>
        <v>0.56527777777777777</v>
      </c>
      <c r="Y47" s="23">
        <f t="shared" si="12"/>
        <v>1.388888888888884E-3</v>
      </c>
      <c r="Z47" s="23">
        <v>1.736111111111116E-2</v>
      </c>
      <c r="AA47" s="23">
        <f t="shared" si="3"/>
        <v>0.52986111111111112</v>
      </c>
      <c r="AB47" s="30">
        <f t="shared" si="4"/>
        <v>3.6805555555555536E-2</v>
      </c>
      <c r="AC47" s="30">
        <f>SUMIF($S$4:S47,S47,$AB$4:AB47)</f>
        <v>0.11041666666666661</v>
      </c>
      <c r="AD47" s="23">
        <f>_xlfn.IFNA(VLOOKUP(VeredaTr1291621[[#This Row],[BUS]],_xlfn._xlws.SORT(TrCeib1181520[[BUS]:[T2]],11,-1,FALSE),11,FALSE),0)</f>
        <v>0.16944444444444434</v>
      </c>
      <c r="AE47" s="23">
        <f>+VeredaTr1291621[[#This Row],[∑VeredaTr]]+VeredaTr1291621[[#This Row],[T2]]</f>
        <v>0.27986111111111095</v>
      </c>
    </row>
    <row r="48" spans="1:31" x14ac:dyDescent="0.35">
      <c r="B48" s="28">
        <v>12</v>
      </c>
      <c r="C48" s="23">
        <v>0.53194444444444444</v>
      </c>
      <c r="D48" s="23">
        <f t="shared" si="5"/>
        <v>5.5555555555555358E-3</v>
      </c>
      <c r="E48" s="23">
        <f>VLOOKUP(TrCeib1181520[[#This Row],[HORA]],'OFERTA (4)'!I:M,5,TRUE)</f>
        <v>6.9444444444444441E-3</v>
      </c>
      <c r="F48" s="23">
        <f t="shared" si="0"/>
        <v>4.2361111111111106E-2</v>
      </c>
      <c r="G48" s="23">
        <f t="shared" si="6"/>
        <v>0.57430555555555551</v>
      </c>
      <c r="H48" s="23">
        <f t="shared" si="7"/>
        <v>1.388888888888884E-3</v>
      </c>
      <c r="I48" s="23"/>
      <c r="J48" s="23">
        <f>+C48+H48</f>
        <v>0.53333333333333333</v>
      </c>
      <c r="K48" s="30">
        <f>(G48-C48)+TrCeib1181520[[#This Row],[Tt_tex]]</f>
        <v>4.2361111111111072E-2</v>
      </c>
      <c r="L48" s="30">
        <f>SUMIF(B$4:$B48,TrCeib1181520[[#This Row],[BUS]],$K$4:K48)</f>
        <v>0.12708333333333333</v>
      </c>
      <c r="M48" s="23">
        <f>_xlfn.IFNA(VLOOKUP(TrCeib1181520[[#This Row],[BUS]],_xlfn._xlws.SORT(VeredaTr1291621[[BUS]:[T2]],11,-1,FALSE),11,FALSE),0)</f>
        <v>0.14722222222222214</v>
      </c>
      <c r="N48" s="23">
        <f>+TrCeib1181520[[#This Row],[∑TrCeib]]+TrCeib1181520[[#This Row],[T2]]</f>
        <v>0.27430555555555547</v>
      </c>
      <c r="O48" s="23"/>
      <c r="P48"/>
      <c r="Q48"/>
      <c r="R48" t="s">
        <v>63</v>
      </c>
      <c r="S48" s="28">
        <v>3</v>
      </c>
      <c r="T48" s="23">
        <v>0.53402777777777777</v>
      </c>
      <c r="U48" s="23">
        <f t="shared" si="11"/>
        <v>5.5555555555555358E-3</v>
      </c>
      <c r="V48" s="23">
        <f>VLOOKUP(VeredaTr1291621[[#This Row],[HORA]],'OFERTA (4)'!B:F,5,TRUE)</f>
        <v>6.9444444444444441E-3</v>
      </c>
      <c r="W48" s="23">
        <f t="shared" si="8"/>
        <v>3.6805555555555557E-2</v>
      </c>
      <c r="X48" s="23">
        <f t="shared" si="9"/>
        <v>0.5708333333333333</v>
      </c>
      <c r="Y48" s="23">
        <f t="shared" si="12"/>
        <v>1.388888888888884E-3</v>
      </c>
      <c r="Z48" s="23"/>
      <c r="AA48" s="23">
        <f>+T48+Y48</f>
        <v>0.53541666666666665</v>
      </c>
      <c r="AB48" s="30">
        <f>(X48-T48)</f>
        <v>3.6805555555555536E-2</v>
      </c>
      <c r="AC48" s="30">
        <f>SUMIF($S$4:S48,S48,$AB$4:AB48)</f>
        <v>0.11041666666666661</v>
      </c>
      <c r="AD48" s="23">
        <f>_xlfn.IFNA(VLOOKUP(VeredaTr1291621[[#This Row],[BUS]],_xlfn._xlws.SORT(TrCeib1181520[[BUS]:[T2]],11,-1,FALSE),11,FALSE),0)</f>
        <v>0.2118055555555555</v>
      </c>
      <c r="AE48" s="23">
        <f>+VeredaTr1291621[[#This Row],[∑VeredaTr]]+VeredaTr1291621[[#This Row],[T2]]</f>
        <v>0.32222222222222208</v>
      </c>
    </row>
    <row r="49" spans="1:31" x14ac:dyDescent="0.35">
      <c r="B49" s="28">
        <v>13</v>
      </c>
      <c r="C49" s="23">
        <v>0.53749999999999998</v>
      </c>
      <c r="D49" s="23">
        <f t="shared" si="5"/>
        <v>5.5555555555555358E-3</v>
      </c>
      <c r="E49" s="23">
        <f>VLOOKUP(TrCeib1181520[[#This Row],[HORA]],'OFERTA (4)'!I:M,5,TRUE)</f>
        <v>6.9444444444444441E-3</v>
      </c>
      <c r="F49" s="23">
        <f t="shared" si="0"/>
        <v>4.2361111111111106E-2</v>
      </c>
      <c r="G49" s="23">
        <f t="shared" si="6"/>
        <v>0.57986111111111105</v>
      </c>
      <c r="H49" s="23">
        <f t="shared" si="7"/>
        <v>1.388888888888884E-3</v>
      </c>
      <c r="I49" s="23"/>
      <c r="J49" s="23">
        <f t="shared" si="1"/>
        <v>0.53888888888888886</v>
      </c>
      <c r="K49" s="30">
        <f>(G49-C49)+TrCeib1181520[[#This Row],[Tt_tex]]</f>
        <v>4.2361111111111072E-2</v>
      </c>
      <c r="L49" s="30">
        <f>SUMIF(B$4:$B49,TrCeib1181520[[#This Row],[BUS]],$K$4:K49)</f>
        <v>0.12708333333333333</v>
      </c>
      <c r="M49" s="23">
        <f>_xlfn.IFNA(VLOOKUP(TrCeib1181520[[#This Row],[BUS]],_xlfn._xlws.SORT(VeredaTr1291621[[BUS]:[T2]],11,-1,FALSE),11,FALSE),0)</f>
        <v>0.22083333333333321</v>
      </c>
      <c r="N49" s="23">
        <f>+TrCeib1181520[[#This Row],[∑TrCeib]]+TrCeib1181520[[#This Row],[T2]]</f>
        <v>0.34791666666666654</v>
      </c>
      <c r="O49" s="23"/>
      <c r="P49"/>
      <c r="Q49"/>
      <c r="S49" s="28">
        <v>15</v>
      </c>
      <c r="T49" s="23">
        <v>0.5395833333333333</v>
      </c>
      <c r="U49" s="23">
        <f t="shared" si="11"/>
        <v>5.5555555555555358E-3</v>
      </c>
      <c r="V49" s="23">
        <f>VLOOKUP(VeredaTr1291621[[#This Row],[HORA]],'OFERTA (4)'!B:F,5,TRUE)</f>
        <v>6.9444444444444441E-3</v>
      </c>
      <c r="W49" s="23">
        <f t="shared" si="8"/>
        <v>3.6805555555555557E-2</v>
      </c>
      <c r="X49" s="23">
        <f t="shared" si="9"/>
        <v>0.57638888888888884</v>
      </c>
      <c r="Y49" s="23">
        <f t="shared" si="12"/>
        <v>1.388888888888884E-3</v>
      </c>
      <c r="Z49" s="23">
        <v>1.8055555555555602E-2</v>
      </c>
      <c r="AA49" s="23">
        <f t="shared" si="3"/>
        <v>0.54097222222222219</v>
      </c>
      <c r="AB49" s="30">
        <f t="shared" si="4"/>
        <v>3.6805555555555536E-2</v>
      </c>
      <c r="AC49" s="30">
        <f>SUMIF($S$4:S49,S49,$AB$4:AB49)</f>
        <v>0.11041666666666661</v>
      </c>
      <c r="AD49" s="23">
        <f>_xlfn.IFNA(VLOOKUP(VeredaTr1291621[[#This Row],[BUS]],_xlfn._xlws.SORT(TrCeib1181520[[BUS]:[T2]],11,-1,FALSE),11,FALSE),0)</f>
        <v>0.16944444444444434</v>
      </c>
      <c r="AE49" s="23">
        <f>+VeredaTr1291621[[#This Row],[∑VeredaTr]]+VeredaTr1291621[[#This Row],[T2]]</f>
        <v>0.27986111111111095</v>
      </c>
    </row>
    <row r="50" spans="1:31" x14ac:dyDescent="0.35">
      <c r="B50" s="28">
        <v>7</v>
      </c>
      <c r="C50" s="23">
        <v>0.54305555555555551</v>
      </c>
      <c r="D50" s="23">
        <f t="shared" si="5"/>
        <v>5.5555555555555358E-3</v>
      </c>
      <c r="E50" s="23">
        <f>VLOOKUP(TrCeib1181520[[#This Row],[HORA]],'OFERTA (4)'!I:M,5,TRUE)</f>
        <v>6.9444444444444441E-3</v>
      </c>
      <c r="F50" s="23">
        <f t="shared" si="0"/>
        <v>4.2361111111111106E-2</v>
      </c>
      <c r="G50" s="23">
        <f t="shared" si="6"/>
        <v>0.58541666666666659</v>
      </c>
      <c r="H50" s="23">
        <f t="shared" si="7"/>
        <v>1.388888888888884E-3</v>
      </c>
      <c r="I50" s="23"/>
      <c r="J50" s="23">
        <f t="shared" si="1"/>
        <v>0.5444444444444444</v>
      </c>
      <c r="K50" s="30">
        <f>(G50-C50)+TrCeib1181520[[#This Row],[Tt_tex]]</f>
        <v>4.2361111111111072E-2</v>
      </c>
      <c r="L50" s="30">
        <f>SUMIF(B$4:$B50,TrCeib1181520[[#This Row],[BUS]],$K$4:K50)</f>
        <v>0.12708333333333333</v>
      </c>
      <c r="M50" s="23">
        <f>_xlfn.IFNA(VLOOKUP(TrCeib1181520[[#This Row],[BUS]],_xlfn._xlws.SORT(VeredaTr1291621[[BUS]:[T2]],11,-1,FALSE),11,FALSE),0)</f>
        <v>0.22083333333333324</v>
      </c>
      <c r="N50" s="23">
        <f>+TrCeib1181520[[#This Row],[∑TrCeib]]+TrCeib1181520[[#This Row],[T2]]</f>
        <v>0.34791666666666654</v>
      </c>
      <c r="O50" s="23"/>
      <c r="P50"/>
      <c r="Q50"/>
      <c r="R50" t="s">
        <v>63</v>
      </c>
      <c r="S50" s="28">
        <v>18</v>
      </c>
      <c r="T50" s="23">
        <v>0.54513888888888895</v>
      </c>
      <c r="U50" s="23">
        <f t="shared" si="11"/>
        <v>5.5555555555556468E-3</v>
      </c>
      <c r="V50" s="23">
        <f>VLOOKUP(VeredaTr1291621[[#This Row],[HORA]],'OFERTA (4)'!B:F,5,TRUE)</f>
        <v>6.9444444444444441E-3</v>
      </c>
      <c r="W50" s="23">
        <f t="shared" si="8"/>
        <v>3.6805555555555557E-2</v>
      </c>
      <c r="X50" s="23">
        <f t="shared" si="9"/>
        <v>0.58194444444444449</v>
      </c>
      <c r="Y50" s="23">
        <f t="shared" si="12"/>
        <v>1.3888888888887729E-3</v>
      </c>
      <c r="Z50" s="23"/>
      <c r="AA50" s="23">
        <f>+T50+Y50</f>
        <v>0.54652777777777772</v>
      </c>
      <c r="AB50" s="30">
        <f>(X50-T50)</f>
        <v>3.6805555555555536E-2</v>
      </c>
      <c r="AC50" s="30">
        <f>SUMIF($S$4:S50,S50,$AB$4:AB50)</f>
        <v>3.6805555555555536E-2</v>
      </c>
      <c r="AD50" s="23">
        <f>_xlfn.IFNA(VLOOKUP(VeredaTr1291621[[#This Row],[BUS]],_xlfn._xlws.SORT(TrCeib1181520[[BUS]:[T2]],11,-1,FALSE),11,FALSE),0)</f>
        <v>0.12569444444444433</v>
      </c>
      <c r="AE50" s="23">
        <f>+VeredaTr1291621[[#This Row],[∑VeredaTr]]+VeredaTr1291621[[#This Row],[T2]]</f>
        <v>0.16249999999999987</v>
      </c>
    </row>
    <row r="51" spans="1:31" x14ac:dyDescent="0.35">
      <c r="A51" t="s">
        <v>70</v>
      </c>
      <c r="B51" s="28">
        <v>8</v>
      </c>
      <c r="C51" s="23">
        <v>0.54861111111111105</v>
      </c>
      <c r="D51" s="23">
        <f t="shared" si="5"/>
        <v>5.5555555555555358E-3</v>
      </c>
      <c r="E51" s="23">
        <f>VLOOKUP(TrCeib1181520[[#This Row],[HORA]],'OFERTA (4)'!I:M,5,TRUE)</f>
        <v>6.9444444444444441E-3</v>
      </c>
      <c r="F51" s="23">
        <f t="shared" si="0"/>
        <v>4.2361111111111106E-2</v>
      </c>
      <c r="G51" s="23">
        <f t="shared" si="6"/>
        <v>0.59097222222222212</v>
      </c>
      <c r="H51" s="23">
        <f t="shared" si="7"/>
        <v>1.388888888888884E-3</v>
      </c>
      <c r="I51" s="23"/>
      <c r="J51" s="23">
        <f t="shared" si="1"/>
        <v>0.54999999999999993</v>
      </c>
      <c r="K51" s="30">
        <f>(G51-C51)+TrCeib1181520[[#This Row],[Tt_tex]]</f>
        <v>4.2361111111111072E-2</v>
      </c>
      <c r="L51" s="30">
        <f>SUMIF(B$4:$B51,TrCeib1181520[[#This Row],[BUS]],$K$4:K51)</f>
        <v>0.12708333333333333</v>
      </c>
      <c r="M51" s="23">
        <f>_xlfn.IFNA(VLOOKUP(TrCeib1181520[[#This Row],[BUS]],_xlfn._xlws.SORT(VeredaTr1291621[[BUS]:[T2]],11,-1,FALSE),11,FALSE),0)</f>
        <v>0.22083333333333321</v>
      </c>
      <c r="N51" s="23">
        <f>+TrCeib1181520[[#This Row],[∑TrCeib]]+TrCeib1181520[[#This Row],[T2]]</f>
        <v>0.34791666666666654</v>
      </c>
      <c r="O51" s="23"/>
      <c r="P51" s="40"/>
      <c r="Q51"/>
      <c r="S51" s="28">
        <v>5</v>
      </c>
      <c r="T51" s="23">
        <v>0.55069444444444449</v>
      </c>
      <c r="U51" s="23">
        <f t="shared" si="11"/>
        <v>5.5555555555555358E-3</v>
      </c>
      <c r="V51" s="23">
        <f>VLOOKUP(VeredaTr1291621[[#This Row],[HORA]],'OFERTA (4)'!B:F,5,TRUE)</f>
        <v>6.9444444444444441E-3</v>
      </c>
      <c r="W51" s="23">
        <f t="shared" si="8"/>
        <v>3.6805555555555557E-2</v>
      </c>
      <c r="X51" s="23">
        <f t="shared" si="9"/>
        <v>0.58750000000000002</v>
      </c>
      <c r="Y51" s="23">
        <f t="shared" si="12"/>
        <v>1.388888888888884E-3</v>
      </c>
      <c r="Z51" s="23">
        <v>1.8750000000000044E-2</v>
      </c>
      <c r="AA51" s="23">
        <f t="shared" si="3"/>
        <v>0.55208333333333337</v>
      </c>
      <c r="AB51" s="30">
        <f t="shared" si="4"/>
        <v>3.6805555555555536E-2</v>
      </c>
      <c r="AC51" s="30">
        <f>SUMIF($S$4:S51,S51,$AB$4:AB51)</f>
        <v>0.18402777777777768</v>
      </c>
      <c r="AD51" s="23">
        <f>_xlfn.IFNA(VLOOKUP(VeredaTr1291621[[#This Row],[BUS]],_xlfn._xlws.SORT(TrCeib1181520[[BUS]:[T2]],11,-1,FALSE),11,FALSE),0)</f>
        <v>0.25416666666666665</v>
      </c>
      <c r="AE51" s="23">
        <f>+VeredaTr1291621[[#This Row],[∑VeredaTr]]+VeredaTr1291621[[#This Row],[T2]]</f>
        <v>0.43819444444444433</v>
      </c>
    </row>
    <row r="52" spans="1:31" x14ac:dyDescent="0.35">
      <c r="A52" t="s">
        <v>70</v>
      </c>
      <c r="B52" s="28">
        <v>1</v>
      </c>
      <c r="C52" s="23">
        <v>0.55416666666666659</v>
      </c>
      <c r="D52" s="23">
        <f t="shared" si="5"/>
        <v>5.5555555555555358E-3</v>
      </c>
      <c r="E52" s="23">
        <f>VLOOKUP(TrCeib1181520[[#This Row],[HORA]],'OFERTA (4)'!I:M,5,TRUE)</f>
        <v>6.9444444444444441E-3</v>
      </c>
      <c r="F52" s="23">
        <f t="shared" si="0"/>
        <v>4.2361111111111106E-2</v>
      </c>
      <c r="G52" s="23">
        <f t="shared" si="6"/>
        <v>0.59652777777777766</v>
      </c>
      <c r="H52" s="23">
        <f t="shared" si="7"/>
        <v>1.388888888888884E-3</v>
      </c>
      <c r="I52" s="23"/>
      <c r="J52" s="23">
        <f t="shared" si="1"/>
        <v>0.55555555555555547</v>
      </c>
      <c r="K52" s="30">
        <f>(G52-C52)+TrCeib1181520[[#This Row],[Tt_tex]]</f>
        <v>4.2361111111111072E-2</v>
      </c>
      <c r="L52" s="30">
        <f>SUMIF(B$4:$B52,TrCeib1181520[[#This Row],[BUS]],$K$4:K52)</f>
        <v>0.16944444444444445</v>
      </c>
      <c r="M52" s="23">
        <f>_xlfn.IFNA(VLOOKUP(TrCeib1181520[[#This Row],[BUS]],_xlfn._xlws.SORT(VeredaTr1291621[[BUS]:[T2]],11,-1,FALSE),11,FALSE),0)</f>
        <v>0.22083333333333321</v>
      </c>
      <c r="N52" s="23">
        <f>+TrCeib1181520[[#This Row],[∑TrCeib]]+TrCeib1181520[[#This Row],[T2]]</f>
        <v>0.39027777777777767</v>
      </c>
      <c r="O52" s="23"/>
      <c r="P52"/>
      <c r="Q52"/>
      <c r="S52" s="28">
        <v>4</v>
      </c>
      <c r="T52" s="23">
        <v>0.55625000000000002</v>
      </c>
      <c r="U52" s="23">
        <f t="shared" si="11"/>
        <v>5.5555555555555358E-3</v>
      </c>
      <c r="V52" s="23">
        <f>VLOOKUP(VeredaTr1291621[[#This Row],[HORA]],'OFERTA (4)'!B:F,5,TRUE)</f>
        <v>6.9444444444444441E-3</v>
      </c>
      <c r="W52" s="23">
        <f t="shared" si="8"/>
        <v>3.6805555555555557E-2</v>
      </c>
      <c r="X52" s="23">
        <f t="shared" si="9"/>
        <v>0.59305555555555556</v>
      </c>
      <c r="Y52" s="23">
        <f t="shared" si="12"/>
        <v>1.388888888888884E-3</v>
      </c>
      <c r="Z52" s="23">
        <v>1.8750000000000044E-2</v>
      </c>
      <c r="AA52" s="23">
        <f t="shared" si="3"/>
        <v>0.55763888888888891</v>
      </c>
      <c r="AB52" s="30">
        <f t="shared" si="4"/>
        <v>3.6805555555555536E-2</v>
      </c>
      <c r="AC52" s="30">
        <f>SUMIF($S$4:S52,S52,$AB$4:AB52)</f>
        <v>0.11041666666666661</v>
      </c>
      <c r="AD52" s="23">
        <f>_xlfn.IFNA(VLOOKUP(VeredaTr1291621[[#This Row],[BUS]],_xlfn._xlws.SORT(TrCeib1181520[[BUS]:[T2]],11,-1,FALSE),11,FALSE),0)</f>
        <v>0.29513888888888884</v>
      </c>
      <c r="AE52" s="23">
        <f>+VeredaTr1291621[[#This Row],[∑VeredaTr]]+VeredaTr1291621[[#This Row],[T2]]</f>
        <v>0.40555555555555545</v>
      </c>
    </row>
    <row r="53" spans="1:31" x14ac:dyDescent="0.35">
      <c r="A53" t="s">
        <v>70</v>
      </c>
      <c r="B53" s="28">
        <v>2</v>
      </c>
      <c r="C53" s="23">
        <v>0.55972222222222223</v>
      </c>
      <c r="D53" s="23">
        <f t="shared" si="5"/>
        <v>5.5555555555556468E-3</v>
      </c>
      <c r="E53" s="23">
        <f>VLOOKUP(TrCeib1181520[[#This Row],[HORA]],'OFERTA (4)'!I:M,5,TRUE)</f>
        <v>6.9444444444444441E-3</v>
      </c>
      <c r="F53" s="23">
        <f t="shared" si="0"/>
        <v>4.2361111111111106E-2</v>
      </c>
      <c r="G53" s="23">
        <f t="shared" si="6"/>
        <v>0.6020833333333333</v>
      </c>
      <c r="H53" s="23">
        <f t="shared" si="7"/>
        <v>1.3888888888887729E-3</v>
      </c>
      <c r="I53" s="23"/>
      <c r="J53" s="23">
        <f t="shared" si="1"/>
        <v>0.56111111111111101</v>
      </c>
      <c r="K53" s="30">
        <f>(G53-C53)+TrCeib1181520[[#This Row],[Tt_tex]]</f>
        <v>4.2361111111111072E-2</v>
      </c>
      <c r="L53" s="30">
        <f>SUMIF(B$4:$B53,TrCeib1181520[[#This Row],[BUS]],$K$4:K53)</f>
        <v>0.16944444444444443</v>
      </c>
      <c r="M53" s="23">
        <f>_xlfn.IFNA(VLOOKUP(TrCeib1181520[[#This Row],[BUS]],_xlfn._xlws.SORT(VeredaTr1291621[[BUS]:[T2]],11,-1,FALSE),11,FALSE),0)</f>
        <v>0.22083333333333321</v>
      </c>
      <c r="N53" s="23">
        <f>+TrCeib1181520[[#This Row],[∑TrCeib]]+TrCeib1181520[[#This Row],[T2]]</f>
        <v>0.39027777777777761</v>
      </c>
      <c r="O53" s="23"/>
      <c r="P53"/>
      <c r="Q53"/>
      <c r="S53" s="28">
        <v>9</v>
      </c>
      <c r="T53" s="23">
        <v>0.56180555555555556</v>
      </c>
      <c r="U53" s="23">
        <f t="shared" si="11"/>
        <v>5.5555555555555358E-3</v>
      </c>
      <c r="V53" s="23">
        <f>VLOOKUP(VeredaTr1291621[[#This Row],[HORA]],'OFERTA (4)'!B:F,5,TRUE)</f>
        <v>6.9444444444444441E-3</v>
      </c>
      <c r="W53" s="23">
        <f t="shared" si="8"/>
        <v>3.6805555555555557E-2</v>
      </c>
      <c r="X53" s="23">
        <f t="shared" si="9"/>
        <v>0.59861111111111109</v>
      </c>
      <c r="Y53" s="23">
        <f t="shared" si="12"/>
        <v>1.388888888888884E-3</v>
      </c>
      <c r="Z53" s="23">
        <v>1.9444444444444486E-2</v>
      </c>
      <c r="AA53" s="23">
        <f>+T53+Y53</f>
        <v>0.56319444444444444</v>
      </c>
      <c r="AB53" s="30">
        <f>(X53-T53)</f>
        <v>3.6805555555555536E-2</v>
      </c>
      <c r="AC53" s="30">
        <f>SUMIF($S$4:S53,S53,$AB$4:AB53)</f>
        <v>0.14722222222222214</v>
      </c>
      <c r="AD53" s="23">
        <f>_xlfn.IFNA(VLOOKUP(VeredaTr1291621[[#This Row],[BUS]],_xlfn._xlws.SORT(TrCeib1181520[[BUS]:[T2]],11,-1,FALSE),11,FALSE),0)</f>
        <v>0.1694444444444444</v>
      </c>
      <c r="AE53" s="23">
        <f>+VeredaTr1291621[[#This Row],[∑VeredaTr]]+VeredaTr1291621[[#This Row],[T2]]</f>
        <v>0.31666666666666654</v>
      </c>
    </row>
    <row r="54" spans="1:31" x14ac:dyDescent="0.35">
      <c r="A54" t="s">
        <v>70</v>
      </c>
      <c r="B54" s="28">
        <v>14</v>
      </c>
      <c r="C54" s="23">
        <v>0.56527777777777777</v>
      </c>
      <c r="D54" s="23">
        <f t="shared" si="5"/>
        <v>5.5555555555555358E-3</v>
      </c>
      <c r="E54" s="23">
        <f>VLOOKUP(TrCeib1181520[[#This Row],[HORA]],'OFERTA (4)'!I:M,5,TRUE)</f>
        <v>6.9444444444444441E-3</v>
      </c>
      <c r="F54" s="23">
        <f t="shared" si="0"/>
        <v>4.2361111111111106E-2</v>
      </c>
      <c r="G54" s="23">
        <f t="shared" si="6"/>
        <v>0.60763888888888884</v>
      </c>
      <c r="H54" s="23">
        <f t="shared" si="7"/>
        <v>1.388888888888884E-3</v>
      </c>
      <c r="I54" s="23"/>
      <c r="J54" s="23">
        <f t="shared" si="1"/>
        <v>0.56666666666666665</v>
      </c>
      <c r="K54" s="30">
        <f>(G54-C54)+TrCeib1181520[[#This Row],[Tt_tex]]</f>
        <v>4.2361111111111072E-2</v>
      </c>
      <c r="L54" s="30">
        <f>SUMIF(B$4:$B54,TrCeib1181520[[#This Row],[BUS]],$K$4:K54)</f>
        <v>0.12708333333333327</v>
      </c>
      <c r="M54" s="23">
        <f>_xlfn.IFNA(VLOOKUP(TrCeib1181520[[#This Row],[BUS]],_xlfn._xlws.SORT(VeredaTr1291621[[BUS]:[T2]],11,-1,FALSE),11,FALSE),0)</f>
        <v>0.18402777777777768</v>
      </c>
      <c r="N54" s="23">
        <f>+TrCeib1181520[[#This Row],[∑TrCeib]]+TrCeib1181520[[#This Row],[T2]]</f>
        <v>0.31111111111111095</v>
      </c>
      <c r="O54" s="23"/>
      <c r="P54"/>
      <c r="Q54"/>
      <c r="S54" s="28">
        <v>16</v>
      </c>
      <c r="T54" s="23">
        <v>0.56736111111111109</v>
      </c>
      <c r="U54" s="23">
        <f t="shared" si="11"/>
        <v>5.5555555555555358E-3</v>
      </c>
      <c r="V54" s="23">
        <f>VLOOKUP(VeredaTr1291621[[#This Row],[HORA]],'OFERTA (4)'!B:F,5,TRUE)</f>
        <v>6.9444444444444441E-3</v>
      </c>
      <c r="W54" s="23">
        <f t="shared" si="8"/>
        <v>3.6805555555555557E-2</v>
      </c>
      <c r="X54" s="23">
        <f t="shared" si="9"/>
        <v>0.60416666666666663</v>
      </c>
      <c r="Y54" s="23">
        <f t="shared" si="12"/>
        <v>1.388888888888884E-3</v>
      </c>
      <c r="Z54" s="23">
        <v>1.9444444444444486E-2</v>
      </c>
      <c r="AA54" s="23">
        <f>+T54+Y54</f>
        <v>0.56874999999999998</v>
      </c>
      <c r="AB54" s="30">
        <f>(X54-T54)</f>
        <v>3.6805555555555536E-2</v>
      </c>
      <c r="AC54" s="30">
        <f>SUMIF($S$4:S54,S54,$AB$4:AB54)</f>
        <v>3.6805555555555536E-2</v>
      </c>
      <c r="AD54" s="23">
        <f>_xlfn.IFNA(VLOOKUP(VeredaTr1291621[[#This Row],[BUS]],_xlfn._xlws.SORT(TrCeib1181520[[BUS]:[T2]],11,-1,FALSE),11,FALSE),0)</f>
        <v>0.1680555555555554</v>
      </c>
      <c r="AE54" s="23">
        <f>+VeredaTr1291621[[#This Row],[∑VeredaTr]]+VeredaTr1291621[[#This Row],[T2]]</f>
        <v>0.20486111111111094</v>
      </c>
    </row>
    <row r="55" spans="1:31" x14ac:dyDescent="0.35">
      <c r="A55" t="s">
        <v>70</v>
      </c>
      <c r="B55" s="28">
        <v>3</v>
      </c>
      <c r="C55" s="23">
        <v>0.5708333333333333</v>
      </c>
      <c r="D55" s="23">
        <f t="shared" si="5"/>
        <v>5.5555555555555358E-3</v>
      </c>
      <c r="E55" s="23">
        <f>VLOOKUP(TrCeib1181520[[#This Row],[HORA]],'OFERTA (4)'!I:M,5,TRUE)</f>
        <v>6.9444444444444441E-3</v>
      </c>
      <c r="F55" s="23">
        <f t="shared" si="0"/>
        <v>4.2361111111111106E-2</v>
      </c>
      <c r="G55" s="23">
        <f t="shared" si="6"/>
        <v>0.61319444444444438</v>
      </c>
      <c r="H55" s="23">
        <f t="shared" si="7"/>
        <v>1.388888888888884E-3</v>
      </c>
      <c r="I55" s="23"/>
      <c r="J55" s="23">
        <f t="shared" si="1"/>
        <v>0.57222222222222219</v>
      </c>
      <c r="K55" s="30">
        <f>(G55-C55)+TrCeib1181520[[#This Row],[Tt_tex]]</f>
        <v>4.2361111111111072E-2</v>
      </c>
      <c r="L55" s="30">
        <f>SUMIF(B$4:$B55,TrCeib1181520[[#This Row],[BUS]],$K$4:K55)</f>
        <v>0.16944444444444443</v>
      </c>
      <c r="M55" s="23">
        <f>_xlfn.IFNA(VLOOKUP(TrCeib1181520[[#This Row],[BUS]],_xlfn._xlws.SORT(VeredaTr1291621[[BUS]:[T2]],11,-1,FALSE),11,FALSE),0)</f>
        <v>0.18402777777777768</v>
      </c>
      <c r="N55" s="23">
        <f>+TrCeib1181520[[#This Row],[∑TrCeib]]+TrCeib1181520[[#This Row],[T2]]</f>
        <v>0.35347222222222208</v>
      </c>
      <c r="O55" s="23"/>
      <c r="P55"/>
      <c r="Q55"/>
      <c r="S55" s="28">
        <v>6</v>
      </c>
      <c r="T55" s="23">
        <v>0.57291666666666663</v>
      </c>
      <c r="U55" s="23">
        <f t="shared" si="11"/>
        <v>5.5555555555555358E-3</v>
      </c>
      <c r="V55" s="23">
        <f>VLOOKUP(VeredaTr1291621[[#This Row],[HORA]],'OFERTA (4)'!B:F,5,TRUE)</f>
        <v>6.9444444444444441E-3</v>
      </c>
      <c r="W55" s="23">
        <f t="shared" si="8"/>
        <v>3.6805555555555557E-2</v>
      </c>
      <c r="X55" s="23">
        <f t="shared" si="9"/>
        <v>0.60972222222222217</v>
      </c>
      <c r="Y55" s="23">
        <f t="shared" si="12"/>
        <v>1.388888888888884E-3</v>
      </c>
      <c r="Z55" s="23">
        <v>2.0138888888888817E-2</v>
      </c>
      <c r="AA55" s="23">
        <f>+T55+Y55</f>
        <v>0.57430555555555551</v>
      </c>
      <c r="AB55" s="30">
        <f>(X55-T55)</f>
        <v>3.6805555555555536E-2</v>
      </c>
      <c r="AC55" s="30">
        <f>SUMIF($S$4:S55,S55,$AB$4:AB55)</f>
        <v>0.18402777777777776</v>
      </c>
      <c r="AD55" s="23">
        <f>_xlfn.IFNA(VLOOKUP(VeredaTr1291621[[#This Row],[BUS]],_xlfn._xlws.SORT(TrCeib1181520[[BUS]:[T2]],11,-1,FALSE),11,FALSE),0)</f>
        <v>0.21180555555555552</v>
      </c>
      <c r="AE55" s="23">
        <f>+VeredaTr1291621[[#This Row],[∑VeredaTr]]+VeredaTr1291621[[#This Row],[T2]]</f>
        <v>0.39583333333333326</v>
      </c>
    </row>
    <row r="56" spans="1:31" x14ac:dyDescent="0.35">
      <c r="A56" t="s">
        <v>70</v>
      </c>
      <c r="B56" s="28">
        <v>15</v>
      </c>
      <c r="C56" s="23">
        <v>0.57638888888888884</v>
      </c>
      <c r="D56" s="23">
        <f t="shared" si="5"/>
        <v>5.5555555555555358E-3</v>
      </c>
      <c r="E56" s="23">
        <f>VLOOKUP(TrCeib1181520[[#This Row],[HORA]],'OFERTA (4)'!I:M,5,TRUE)</f>
        <v>6.9444444444444441E-3</v>
      </c>
      <c r="F56" s="23">
        <f t="shared" si="0"/>
        <v>4.2361111111111106E-2</v>
      </c>
      <c r="G56" s="23">
        <f t="shared" si="6"/>
        <v>0.61874999999999991</v>
      </c>
      <c r="H56" s="23">
        <f t="shared" si="7"/>
        <v>1.388888888888884E-3</v>
      </c>
      <c r="I56" s="23"/>
      <c r="J56" s="23">
        <f t="shared" si="1"/>
        <v>0.57777777777777772</v>
      </c>
      <c r="K56" s="30">
        <f>(G56-C56)+TrCeib1181520[[#This Row],[Tt_tex]]</f>
        <v>4.2361111111111072E-2</v>
      </c>
      <c r="L56" s="30">
        <f>SUMIF(B$4:$B56,TrCeib1181520[[#This Row],[BUS]],$K$4:K56)</f>
        <v>0.12708333333333327</v>
      </c>
      <c r="M56" s="23">
        <f>_xlfn.IFNA(VLOOKUP(TrCeib1181520[[#This Row],[BUS]],_xlfn._xlws.SORT(VeredaTr1291621[[BUS]:[T2]],11,-1,FALSE),11,FALSE),0)</f>
        <v>0.18402777777777768</v>
      </c>
      <c r="N56" s="23">
        <f>+TrCeib1181520[[#This Row],[∑TrCeib]]+TrCeib1181520[[#This Row],[T2]]</f>
        <v>0.31111111111111095</v>
      </c>
      <c r="O56" s="23"/>
      <c r="P56"/>
      <c r="Q56"/>
      <c r="S56" s="28">
        <v>17</v>
      </c>
      <c r="T56" s="23">
        <v>0.57847222222222217</v>
      </c>
      <c r="U56" s="23">
        <f t="shared" si="11"/>
        <v>5.5555555555555358E-3</v>
      </c>
      <c r="V56" s="23">
        <f>VLOOKUP(VeredaTr1291621[[#This Row],[HORA]],'OFERTA (4)'!B:F,5,TRUE)</f>
        <v>6.9444444444444441E-3</v>
      </c>
      <c r="W56" s="23">
        <f t="shared" si="8"/>
        <v>3.6805555555555557E-2</v>
      </c>
      <c r="X56" s="23">
        <f t="shared" si="9"/>
        <v>0.6152777777777777</v>
      </c>
      <c r="Y56" s="23">
        <f t="shared" si="12"/>
        <v>1.388888888888884E-3</v>
      </c>
      <c r="Z56" s="23">
        <v>2.0138888888888928E-2</v>
      </c>
      <c r="AA56" s="23">
        <f t="shared" si="3"/>
        <v>0.57986111111111105</v>
      </c>
      <c r="AB56" s="30">
        <f t="shared" si="4"/>
        <v>3.6805555555555536E-2</v>
      </c>
      <c r="AC56" s="30">
        <f>SUMIF($S$4:S56,S56,$AB$4:AB56)</f>
        <v>3.6805555555555536E-2</v>
      </c>
      <c r="AD56" s="23">
        <f>_xlfn.IFNA(VLOOKUP(VeredaTr1291621[[#This Row],[BUS]],_xlfn._xlws.SORT(TrCeib1181520[[BUS]:[T2]],11,-1,FALSE),11,FALSE),0)</f>
        <v>0.1680555555555554</v>
      </c>
      <c r="AE56" s="23">
        <f>+VeredaTr1291621[[#This Row],[∑VeredaTr]]+VeredaTr1291621[[#This Row],[T2]]</f>
        <v>0.20486111111111094</v>
      </c>
    </row>
    <row r="57" spans="1:31" x14ac:dyDescent="0.35">
      <c r="B57" s="28">
        <v>18</v>
      </c>
      <c r="C57" s="23">
        <v>0.58194444444444449</v>
      </c>
      <c r="D57" s="23">
        <f t="shared" si="5"/>
        <v>5.5555555555556468E-3</v>
      </c>
      <c r="E57" s="23">
        <f>VLOOKUP(TrCeib1181520[[#This Row],[HORA]],'OFERTA (4)'!I:M,5,TRUE)</f>
        <v>6.9444444444444441E-3</v>
      </c>
      <c r="F57" s="23">
        <f t="shared" si="0"/>
        <v>4.2361111111111106E-2</v>
      </c>
      <c r="G57" s="23">
        <f t="shared" si="6"/>
        <v>0.62430555555555556</v>
      </c>
      <c r="H57" s="23">
        <f t="shared" si="7"/>
        <v>1.3888888888887729E-3</v>
      </c>
      <c r="I57" s="23"/>
      <c r="J57" s="23">
        <f t="shared" si="1"/>
        <v>0.58333333333333326</v>
      </c>
      <c r="K57" s="30">
        <f>(G57-C57)+TrCeib1181520[[#This Row],[Tt_tex]]</f>
        <v>4.2361111111111072E-2</v>
      </c>
      <c r="L57" s="30">
        <f>SUMIF(B$4:$B57,TrCeib1181520[[#This Row],[BUS]],$K$4:K57)</f>
        <v>4.2361111111111072E-2</v>
      </c>
      <c r="M57" s="23">
        <f>_xlfn.IFNA(VLOOKUP(TrCeib1181520[[#This Row],[BUS]],_xlfn._xlws.SORT(VeredaTr1291621[[BUS]:[T2]],11,-1,FALSE),11,FALSE),0)</f>
        <v>0.14722222222222214</v>
      </c>
      <c r="N57" s="23">
        <f>+TrCeib1181520[[#This Row],[∑TrCeib]]+TrCeib1181520[[#This Row],[T2]]</f>
        <v>0.18958333333333321</v>
      </c>
      <c r="O57" s="23"/>
      <c r="P57"/>
      <c r="Q57"/>
      <c r="S57" s="28">
        <v>10</v>
      </c>
      <c r="T57" s="23">
        <v>0.5840277777777777</v>
      </c>
      <c r="U57" s="23">
        <f t="shared" si="11"/>
        <v>5.5555555555555358E-3</v>
      </c>
      <c r="V57" s="23">
        <f>VLOOKUP(VeredaTr1291621[[#This Row],[HORA]],'OFERTA (4)'!B:F,5,TRUE)</f>
        <v>6.9444444444444441E-3</v>
      </c>
      <c r="W57" s="23">
        <f t="shared" si="8"/>
        <v>3.6805555555555557E-2</v>
      </c>
      <c r="X57" s="23">
        <f t="shared" si="9"/>
        <v>0.62083333333333324</v>
      </c>
      <c r="Y57" s="23">
        <f t="shared" si="12"/>
        <v>1.388888888888884E-3</v>
      </c>
      <c r="Z57" s="23">
        <v>2.0833333333333259E-2</v>
      </c>
      <c r="AA57" s="23">
        <f t="shared" si="3"/>
        <v>0.58541666666666659</v>
      </c>
      <c r="AB57" s="30">
        <f t="shared" si="4"/>
        <v>3.6805555555555536E-2</v>
      </c>
      <c r="AC57" s="30">
        <f>SUMIF($S$4:S57,S57,$AB$4:AB57)</f>
        <v>0.14722222222222214</v>
      </c>
      <c r="AD57" s="23">
        <f>_xlfn.IFNA(VLOOKUP(VeredaTr1291621[[#This Row],[BUS]],_xlfn._xlws.SORT(TrCeib1181520[[BUS]:[T2]],11,-1,FALSE),11,FALSE),0)</f>
        <v>0.1694444444444444</v>
      </c>
      <c r="AE57" s="23">
        <f>+VeredaTr1291621[[#This Row],[∑VeredaTr]]+VeredaTr1291621[[#This Row],[T2]]</f>
        <v>0.31666666666666654</v>
      </c>
    </row>
    <row r="58" spans="1:31" x14ac:dyDescent="0.35">
      <c r="A58" t="s">
        <v>70</v>
      </c>
      <c r="B58" s="28">
        <v>5</v>
      </c>
      <c r="C58" s="23">
        <v>0.58750000000000002</v>
      </c>
      <c r="D58" s="23">
        <f t="shared" si="5"/>
        <v>5.5555555555555358E-3</v>
      </c>
      <c r="E58" s="23">
        <f>VLOOKUP(TrCeib1181520[[#This Row],[HORA]],'OFERTA (4)'!I:M,5,TRUE)</f>
        <v>6.9444444444444441E-3</v>
      </c>
      <c r="F58" s="23">
        <f t="shared" si="0"/>
        <v>4.2361111111111106E-2</v>
      </c>
      <c r="G58" s="23">
        <f t="shared" si="6"/>
        <v>0.62986111111111109</v>
      </c>
      <c r="H58" s="23">
        <f t="shared" si="7"/>
        <v>1.388888888888884E-3</v>
      </c>
      <c r="I58" s="23"/>
      <c r="J58" s="23">
        <f t="shared" si="1"/>
        <v>0.58888888888888891</v>
      </c>
      <c r="K58" s="30">
        <f>(G58-C58)+TrCeib1181520[[#This Row],[Tt_tex]]</f>
        <v>4.2361111111111072E-2</v>
      </c>
      <c r="L58" s="30">
        <f>SUMIF(B$4:$B58,TrCeib1181520[[#This Row],[BUS]],$K$4:K58)</f>
        <v>0.21180555555555558</v>
      </c>
      <c r="M58" s="23">
        <f>_xlfn.IFNA(VLOOKUP(TrCeib1181520[[#This Row],[BUS]],_xlfn._xlws.SORT(VeredaTr1291621[[BUS]:[T2]],11,-1,FALSE),11,FALSE),0)</f>
        <v>0.25763888888888875</v>
      </c>
      <c r="N58" s="23">
        <f>+TrCeib1181520[[#This Row],[∑TrCeib]]+TrCeib1181520[[#This Row],[T2]]</f>
        <v>0.46944444444444433</v>
      </c>
      <c r="O58" s="23"/>
      <c r="P58"/>
      <c r="Q58"/>
      <c r="S58" s="28">
        <v>11</v>
      </c>
      <c r="T58" s="23">
        <v>0.58958333333333324</v>
      </c>
      <c r="U58" s="23">
        <f t="shared" si="11"/>
        <v>5.5555555555555358E-3</v>
      </c>
      <c r="V58" s="23">
        <f>VLOOKUP(VeredaTr1291621[[#This Row],[HORA]],'OFERTA (4)'!B:F,5,TRUE)</f>
        <v>6.9444444444444441E-3</v>
      </c>
      <c r="W58" s="23">
        <f t="shared" si="8"/>
        <v>3.6805555555555557E-2</v>
      </c>
      <c r="X58" s="23">
        <f t="shared" si="9"/>
        <v>0.62638888888888877</v>
      </c>
      <c r="Y58" s="23">
        <f t="shared" si="12"/>
        <v>1.388888888888884E-3</v>
      </c>
      <c r="Z58" s="23">
        <v>2.0833333333333259E-2</v>
      </c>
      <c r="AA58" s="23">
        <f t="shared" si="3"/>
        <v>0.59097222222222212</v>
      </c>
      <c r="AB58" s="30">
        <f t="shared" si="4"/>
        <v>3.6805555555555536E-2</v>
      </c>
      <c r="AC58" s="30">
        <f>SUMIF($S$4:S58,S58,$AB$4:AB58)</f>
        <v>0.14722222222222214</v>
      </c>
      <c r="AD58" s="23">
        <f>_xlfn.IFNA(VLOOKUP(VeredaTr1291621[[#This Row],[BUS]],_xlfn._xlws.SORT(TrCeib1181520[[BUS]:[T2]],11,-1,FALSE),11,FALSE),0)</f>
        <v>0.25416666666666654</v>
      </c>
      <c r="AE58" s="23">
        <f>+VeredaTr1291621[[#This Row],[∑VeredaTr]]+VeredaTr1291621[[#This Row],[T2]]</f>
        <v>0.40138888888888868</v>
      </c>
    </row>
    <row r="59" spans="1:31" x14ac:dyDescent="0.35">
      <c r="B59" s="28">
        <v>4</v>
      </c>
      <c r="C59" s="23">
        <v>0.59305555555555556</v>
      </c>
      <c r="D59" s="23">
        <f t="shared" si="5"/>
        <v>5.5555555555555358E-3</v>
      </c>
      <c r="E59" s="23">
        <f>VLOOKUP(TrCeib1181520[[#This Row],[HORA]],'OFERTA (4)'!I:M,5,TRUE)</f>
        <v>6.9444444444444441E-3</v>
      </c>
      <c r="F59" s="23">
        <f t="shared" si="0"/>
        <v>4.2361111111111106E-2</v>
      </c>
      <c r="G59" s="23">
        <f t="shared" si="6"/>
        <v>0.63541666666666663</v>
      </c>
      <c r="H59" s="23">
        <f t="shared" si="7"/>
        <v>1.388888888888884E-3</v>
      </c>
      <c r="I59" s="23"/>
      <c r="J59" s="23">
        <f t="shared" si="1"/>
        <v>0.59444444444444444</v>
      </c>
      <c r="K59" s="30">
        <f>(G59-C59)+TrCeib1181520[[#This Row],[Tt_tex]]</f>
        <v>4.2361111111111072E-2</v>
      </c>
      <c r="L59" s="30">
        <f>SUMIF(B$4:$B59,TrCeib1181520[[#This Row],[BUS]],$K$4:K59)</f>
        <v>0.21180555555555558</v>
      </c>
      <c r="M59" s="23">
        <f>_xlfn.IFNA(VLOOKUP(TrCeib1181520[[#This Row],[BUS]],_xlfn._xlws.SORT(VeredaTr1291621[[BUS]:[T2]],11,-1,FALSE),11,FALSE),0)</f>
        <v>0.22083333333333321</v>
      </c>
      <c r="N59" s="23">
        <f>+TrCeib1181520[[#This Row],[∑TrCeib]]+TrCeib1181520[[#This Row],[T2]]</f>
        <v>0.4326388888888888</v>
      </c>
      <c r="O59" s="23"/>
      <c r="P59"/>
      <c r="Q59"/>
      <c r="S59" s="28">
        <v>12</v>
      </c>
      <c r="T59" s="23">
        <v>0.59513888888888877</v>
      </c>
      <c r="U59" s="23">
        <f t="shared" si="11"/>
        <v>5.5555555555555358E-3</v>
      </c>
      <c r="V59" s="23">
        <f>VLOOKUP(VeredaTr1291621[[#This Row],[HORA]],'OFERTA (4)'!B:F,5,TRUE)</f>
        <v>6.9444444444444441E-3</v>
      </c>
      <c r="W59" s="23">
        <f t="shared" si="8"/>
        <v>3.6805555555555557E-2</v>
      </c>
      <c r="X59" s="23">
        <f t="shared" si="9"/>
        <v>0.63194444444444431</v>
      </c>
      <c r="Y59" s="23">
        <f t="shared" si="12"/>
        <v>1.388888888888884E-3</v>
      </c>
      <c r="Z59" s="23">
        <v>2.0833333333333259E-2</v>
      </c>
      <c r="AA59" s="23">
        <f t="shared" si="3"/>
        <v>0.59652777777777766</v>
      </c>
      <c r="AB59" s="30">
        <f t="shared" si="4"/>
        <v>3.6805555555555536E-2</v>
      </c>
      <c r="AC59" s="30">
        <f>SUMIF($S$4:S59,S59,$AB$4:AB59)</f>
        <v>0.14722222222222214</v>
      </c>
      <c r="AD59" s="23">
        <f>_xlfn.IFNA(VLOOKUP(VeredaTr1291621[[#This Row],[BUS]],_xlfn._xlws.SORT(TrCeib1181520[[BUS]:[T2]],11,-1,FALSE),11,FALSE),0)</f>
        <v>0.1694444444444444</v>
      </c>
      <c r="AE59" s="23">
        <f>+VeredaTr1291621[[#This Row],[∑VeredaTr]]+VeredaTr1291621[[#This Row],[T2]]</f>
        <v>0.31666666666666654</v>
      </c>
    </row>
    <row r="60" spans="1:31" x14ac:dyDescent="0.35">
      <c r="A60" t="s">
        <v>70</v>
      </c>
      <c r="B60" s="28">
        <v>9</v>
      </c>
      <c r="C60" s="23">
        <v>0.59861111111111109</v>
      </c>
      <c r="D60" s="23">
        <f t="shared" si="5"/>
        <v>5.5555555555555358E-3</v>
      </c>
      <c r="E60" s="23">
        <f>VLOOKUP(TrCeib1181520[[#This Row],[HORA]],'OFERTA (4)'!I:M,5,TRUE)</f>
        <v>6.9444444444444441E-3</v>
      </c>
      <c r="F60" s="23">
        <f t="shared" si="0"/>
        <v>4.2361111111111106E-2</v>
      </c>
      <c r="G60" s="23">
        <f t="shared" si="6"/>
        <v>0.64097222222222217</v>
      </c>
      <c r="H60" s="23">
        <f t="shared" si="7"/>
        <v>1.388888888888884E-3</v>
      </c>
      <c r="I60" s="23"/>
      <c r="J60" s="23">
        <f t="shared" si="1"/>
        <v>0.6</v>
      </c>
      <c r="K60" s="30">
        <f>(G60-C60)+TrCeib1181520[[#This Row],[Tt_tex]]</f>
        <v>4.2361111111111072E-2</v>
      </c>
      <c r="L60" s="30">
        <f>SUMIF(B$4:$B60,TrCeib1181520[[#This Row],[BUS]],$K$4:K60)</f>
        <v>0.1694444444444444</v>
      </c>
      <c r="M60" s="23">
        <f>_xlfn.IFNA(VLOOKUP(TrCeib1181520[[#This Row],[BUS]],_xlfn._xlws.SORT(VeredaTr1291621[[BUS]:[T2]],11,-1,FALSE),11,FALSE),0)</f>
        <v>0.14722222222222214</v>
      </c>
      <c r="N60" s="23">
        <f>+TrCeib1181520[[#This Row],[∑TrCeib]]+TrCeib1181520[[#This Row],[T2]]</f>
        <v>0.31666666666666654</v>
      </c>
      <c r="O60" s="23"/>
      <c r="P60"/>
      <c r="Q60"/>
      <c r="S60" s="28">
        <v>13</v>
      </c>
      <c r="T60" s="23">
        <v>0.60069444444444431</v>
      </c>
      <c r="U60" s="23">
        <f t="shared" si="11"/>
        <v>5.5555555555555358E-3</v>
      </c>
      <c r="V60" s="23">
        <f>VLOOKUP(VeredaTr1291621[[#This Row],[HORA]],'OFERTA (4)'!B:F,5,TRUE)</f>
        <v>6.9444444444444441E-3</v>
      </c>
      <c r="W60" s="23">
        <f t="shared" si="8"/>
        <v>3.6805555555555557E-2</v>
      </c>
      <c r="X60" s="23">
        <f t="shared" si="9"/>
        <v>0.63749999999999984</v>
      </c>
      <c r="Y60" s="23">
        <f t="shared" si="12"/>
        <v>1.388888888888884E-3</v>
      </c>
      <c r="Z60" s="23">
        <v>2.0833333333333259E-2</v>
      </c>
      <c r="AA60" s="23">
        <f>+T60+Y60</f>
        <v>0.60208333333333319</v>
      </c>
      <c r="AB60" s="30">
        <f>(X60-T60)</f>
        <v>3.6805555555555536E-2</v>
      </c>
      <c r="AC60" s="30">
        <f>SUMIF($S$4:S60,S60,$AB$4:AB60)</f>
        <v>0.14722222222222214</v>
      </c>
      <c r="AD60" s="23">
        <f>_xlfn.IFNA(VLOOKUP(VeredaTr1291621[[#This Row],[BUS]],_xlfn._xlws.SORT(TrCeib1181520[[BUS]:[T2]],11,-1,FALSE),11,FALSE),0)</f>
        <v>0.25416666666666654</v>
      </c>
      <c r="AE60" s="23">
        <f>+VeredaTr1291621[[#This Row],[∑VeredaTr]]+VeredaTr1291621[[#This Row],[T2]]</f>
        <v>0.40138888888888868</v>
      </c>
    </row>
    <row r="61" spans="1:31" x14ac:dyDescent="0.35">
      <c r="B61" s="28">
        <v>16</v>
      </c>
      <c r="C61" s="23">
        <v>0.60416666666666663</v>
      </c>
      <c r="D61" s="23">
        <f t="shared" si="5"/>
        <v>5.5555555555555358E-3</v>
      </c>
      <c r="E61" s="23">
        <f>VLOOKUP(TrCeib1181520[[#This Row],[HORA]],'OFERTA (4)'!I:M,5,TRUE)</f>
        <v>6.9444444444444441E-3</v>
      </c>
      <c r="F61" s="23">
        <f t="shared" si="0"/>
        <v>4.2361111111111106E-2</v>
      </c>
      <c r="G61" s="23">
        <f t="shared" si="6"/>
        <v>0.6465277777777777</v>
      </c>
      <c r="H61" s="23">
        <f t="shared" si="7"/>
        <v>1.388888888888884E-3</v>
      </c>
      <c r="I61" s="23"/>
      <c r="J61" s="23">
        <f t="shared" si="1"/>
        <v>0.60555555555555551</v>
      </c>
      <c r="K61" s="30">
        <f>(G61-C61)+TrCeib1181520[[#This Row],[Tt_tex]]</f>
        <v>4.2361111111111072E-2</v>
      </c>
      <c r="L61" s="30">
        <f>SUMIF(B$4:$B61,TrCeib1181520[[#This Row],[BUS]],$K$4:K61)</f>
        <v>8.4722222222222143E-2</v>
      </c>
      <c r="M61" s="23">
        <f>_xlfn.IFNA(VLOOKUP(TrCeib1181520[[#This Row],[BUS]],_xlfn._xlws.SORT(VeredaTr1291621[[BUS]:[T2]],11,-1,FALSE),11,FALSE),0)</f>
        <v>0.11041666666666661</v>
      </c>
      <c r="N61" s="23">
        <f>+TrCeib1181520[[#This Row],[∑TrCeib]]+TrCeib1181520[[#This Row],[T2]]</f>
        <v>0.19513888888888875</v>
      </c>
      <c r="O61" s="23"/>
      <c r="P61"/>
      <c r="Q61"/>
      <c r="S61" s="28">
        <v>7</v>
      </c>
      <c r="T61" s="23">
        <v>0.61111111111111094</v>
      </c>
      <c r="U61" s="23">
        <f t="shared" si="11"/>
        <v>1.041666666666663E-2</v>
      </c>
      <c r="V61" s="23">
        <f>VLOOKUP(VeredaTr1291621[[#This Row],[HORA]],'OFERTA (4)'!B:F,5,TRUE)</f>
        <v>6.9444444444444441E-3</v>
      </c>
      <c r="W61" s="23">
        <f t="shared" si="8"/>
        <v>3.6805555555555557E-2</v>
      </c>
      <c r="X61" s="23">
        <f t="shared" si="9"/>
        <v>0.64791666666666647</v>
      </c>
      <c r="Y61" s="23">
        <f t="shared" si="12"/>
        <v>-3.4722222222222099E-3</v>
      </c>
      <c r="Z61" s="23">
        <v>2.5694444444444447E-2</v>
      </c>
      <c r="AA61" s="23">
        <f t="shared" si="3"/>
        <v>0.60763888888888873</v>
      </c>
      <c r="AB61" s="30">
        <f t="shared" si="4"/>
        <v>3.6805555555555536E-2</v>
      </c>
      <c r="AC61" s="30">
        <f>SUMIF($S$4:S61,S61,$AB$4:AB61)</f>
        <v>0.14722222222222217</v>
      </c>
      <c r="AD61" s="23">
        <f>_xlfn.IFNA(VLOOKUP(VeredaTr1291621[[#This Row],[BUS]],_xlfn._xlws.SORT(TrCeib1181520[[BUS]:[T2]],11,-1,FALSE),11,FALSE),0)</f>
        <v>0.25416666666666654</v>
      </c>
      <c r="AE61" s="23">
        <f>+VeredaTr1291621[[#This Row],[∑VeredaTr]]+VeredaTr1291621[[#This Row],[T2]]</f>
        <v>0.40138888888888868</v>
      </c>
    </row>
    <row r="62" spans="1:31" x14ac:dyDescent="0.35">
      <c r="A62" t="s">
        <v>70</v>
      </c>
      <c r="B62" s="28">
        <v>6</v>
      </c>
      <c r="C62" s="23">
        <v>0.60972222222222217</v>
      </c>
      <c r="D62" s="23">
        <f t="shared" si="5"/>
        <v>5.5555555555555358E-3</v>
      </c>
      <c r="E62" s="23">
        <f>VLOOKUP(TrCeib1181520[[#This Row],[HORA]],'OFERTA (4)'!I:M,5,TRUE)</f>
        <v>6.9444444444444441E-3</v>
      </c>
      <c r="F62" s="23">
        <f t="shared" si="0"/>
        <v>4.2361111111111106E-2</v>
      </c>
      <c r="G62" s="23">
        <f t="shared" si="6"/>
        <v>0.65208333333333324</v>
      </c>
      <c r="H62" s="23">
        <f t="shared" si="7"/>
        <v>1.388888888888884E-3</v>
      </c>
      <c r="I62" s="23"/>
      <c r="J62" s="23">
        <f t="shared" si="1"/>
        <v>0.61111111111111105</v>
      </c>
      <c r="K62" s="30">
        <f>(G62-C62)+TrCeib1181520[[#This Row],[Tt_tex]]</f>
        <v>4.2361111111111072E-2</v>
      </c>
      <c r="L62" s="30">
        <f>SUMIF(B$4:$B62,TrCeib1181520[[#This Row],[BUS]],$K$4:K62)</f>
        <v>0.21180555555555552</v>
      </c>
      <c r="M62" s="23">
        <f>_xlfn.IFNA(VLOOKUP(TrCeib1181520[[#This Row],[BUS]],_xlfn._xlws.SORT(VeredaTr1291621[[BUS]:[T2]],11,-1,FALSE),11,FALSE),0)</f>
        <v>0.18402777777777776</v>
      </c>
      <c r="N62" s="23">
        <f>+TrCeib1181520[[#This Row],[∑TrCeib]]+TrCeib1181520[[#This Row],[T2]]</f>
        <v>0.39583333333333326</v>
      </c>
      <c r="O62" s="23"/>
      <c r="P62"/>
      <c r="Q62"/>
      <c r="S62" s="28">
        <v>18</v>
      </c>
      <c r="T62" s="23">
        <v>0.62430555555555556</v>
      </c>
      <c r="U62" s="23">
        <f t="shared" si="11"/>
        <v>1.319444444444462E-2</v>
      </c>
      <c r="V62" s="23">
        <f>VLOOKUP(VeredaTr1291621[[#This Row],[HORA]],'OFERTA (4)'!B:F,5,TRUE)</f>
        <v>6.9444444444444441E-3</v>
      </c>
      <c r="W62" s="23">
        <f t="shared" si="8"/>
        <v>3.6805555555555557E-2</v>
      </c>
      <c r="X62" s="23">
        <f t="shared" si="9"/>
        <v>0.66111111111111109</v>
      </c>
      <c r="Y62" s="23">
        <f t="shared" si="12"/>
        <v>-6.2500000000001998E-3</v>
      </c>
      <c r="Z62" s="23"/>
      <c r="AA62" s="23">
        <f>+T62+Y62</f>
        <v>0.61805555555555536</v>
      </c>
      <c r="AB62" s="30">
        <f>(X62-T62)</f>
        <v>3.6805555555555536E-2</v>
      </c>
      <c r="AC62" s="30">
        <f>SUMIF($S$4:S62,S62,$AB$4:AB62)</f>
        <v>7.3611111111111072E-2</v>
      </c>
      <c r="AD62" s="23">
        <f>_xlfn.IFNA(VLOOKUP(VeredaTr1291621[[#This Row],[BUS]],_xlfn._xlws.SORT(TrCeib1181520[[BUS]:[T2]],11,-1,FALSE),11,FALSE),0)</f>
        <v>0.12569444444444433</v>
      </c>
      <c r="AE62" s="23">
        <f>+VeredaTr1291621[[#This Row],[∑VeredaTr]]+VeredaTr1291621[[#This Row],[T2]]</f>
        <v>0.1993055555555554</v>
      </c>
    </row>
    <row r="63" spans="1:31" x14ac:dyDescent="0.35">
      <c r="B63" s="28">
        <v>17</v>
      </c>
      <c r="C63" s="23">
        <v>0.6152777777777777</v>
      </c>
      <c r="D63" s="23">
        <f t="shared" si="5"/>
        <v>5.5555555555555358E-3</v>
      </c>
      <c r="E63" s="23">
        <f>VLOOKUP(TrCeib1181520[[#This Row],[HORA]],'OFERTA (4)'!I:M,5,TRUE)</f>
        <v>6.9444444444444441E-3</v>
      </c>
      <c r="F63" s="23">
        <f t="shared" si="0"/>
        <v>4.2361111111111106E-2</v>
      </c>
      <c r="G63" s="23">
        <f t="shared" si="6"/>
        <v>0.65763888888888877</v>
      </c>
      <c r="H63" s="23">
        <f t="shared" si="7"/>
        <v>1.388888888888884E-3</v>
      </c>
      <c r="I63" s="23"/>
      <c r="J63" s="23">
        <f t="shared" si="1"/>
        <v>0.61666666666666659</v>
      </c>
      <c r="K63" s="30">
        <f>(G63-C63)+TrCeib1181520[[#This Row],[Tt_tex]]</f>
        <v>4.2361111111111072E-2</v>
      </c>
      <c r="L63" s="30">
        <f>SUMIF(B$4:$B63,TrCeib1181520[[#This Row],[BUS]],$K$4:K63)</f>
        <v>8.4722222222222143E-2</v>
      </c>
      <c r="M63" s="23">
        <f>_xlfn.IFNA(VLOOKUP(TrCeib1181520[[#This Row],[BUS]],_xlfn._xlws.SORT(VeredaTr1291621[[BUS]:[T2]],11,-1,FALSE),11,FALSE),0)</f>
        <v>0.11041666666666661</v>
      </c>
      <c r="N63" s="23">
        <f>+TrCeib1181520[[#This Row],[∑TrCeib]]+TrCeib1181520[[#This Row],[T2]]</f>
        <v>0.19513888888888875</v>
      </c>
      <c r="O63" s="23"/>
      <c r="P63"/>
      <c r="Q63"/>
      <c r="S63" s="28">
        <v>4</v>
      </c>
      <c r="T63" s="23">
        <v>0.63541666666666663</v>
      </c>
      <c r="U63" s="23">
        <f t="shared" si="11"/>
        <v>1.1111111111111072E-2</v>
      </c>
      <c r="V63" s="23">
        <f>VLOOKUP(VeredaTr1291621[[#This Row],[HORA]],'OFERTA (4)'!B:F,5,TRUE)</f>
        <v>6.9444444444444397E-3</v>
      </c>
      <c r="W63" s="23">
        <f t="shared" si="8"/>
        <v>3.6805555555555557E-2</v>
      </c>
      <c r="X63" s="23">
        <f t="shared" si="9"/>
        <v>0.67222222222222217</v>
      </c>
      <c r="Y63" s="23">
        <f t="shared" si="12"/>
        <v>-4.1666666666666519E-3</v>
      </c>
      <c r="Z63" s="23"/>
      <c r="AA63" s="23">
        <f t="shared" si="3"/>
        <v>0.63124999999999998</v>
      </c>
      <c r="AB63" s="30">
        <f t="shared" si="4"/>
        <v>3.6805555555555536E-2</v>
      </c>
      <c r="AC63" s="30">
        <f>SUMIF($S$4:S63,S63,$AB$4:AB63)</f>
        <v>0.14722222222222214</v>
      </c>
      <c r="AD63" s="23">
        <f>_xlfn.IFNA(VLOOKUP(VeredaTr1291621[[#This Row],[BUS]],_xlfn._xlws.SORT(TrCeib1181520[[BUS]:[T2]],11,-1,FALSE),11,FALSE),0)</f>
        <v>0.29513888888888884</v>
      </c>
      <c r="AE63" s="23">
        <f>+VeredaTr1291621[[#This Row],[∑VeredaTr]]+VeredaTr1291621[[#This Row],[T2]]</f>
        <v>0.44236111111111098</v>
      </c>
    </row>
    <row r="64" spans="1:31" x14ac:dyDescent="0.35">
      <c r="A64" t="s">
        <v>70</v>
      </c>
      <c r="B64" s="28">
        <v>10</v>
      </c>
      <c r="C64" s="23">
        <v>0.62083333333333324</v>
      </c>
      <c r="D64" s="23">
        <f t="shared" si="5"/>
        <v>5.5555555555555358E-3</v>
      </c>
      <c r="E64" s="23">
        <f>VLOOKUP(TrCeib1181520[[#This Row],[HORA]],'OFERTA (4)'!I:M,5,TRUE)</f>
        <v>6.9444444444444441E-3</v>
      </c>
      <c r="F64" s="23">
        <f t="shared" si="0"/>
        <v>4.2361111111111106E-2</v>
      </c>
      <c r="G64" s="23">
        <f t="shared" si="6"/>
        <v>0.66319444444444431</v>
      </c>
      <c r="H64" s="23">
        <f t="shared" si="7"/>
        <v>1.388888888888884E-3</v>
      </c>
      <c r="I64" s="23"/>
      <c r="J64" s="23">
        <f t="shared" si="1"/>
        <v>0.62222222222222212</v>
      </c>
      <c r="K64" s="30">
        <f>(G64-C64)+TrCeib1181520[[#This Row],[Tt_tex]]</f>
        <v>4.2361111111111072E-2</v>
      </c>
      <c r="L64" s="30">
        <f>SUMIF(B$4:$B64,TrCeib1181520[[#This Row],[BUS]],$K$4:K64)</f>
        <v>0.1694444444444444</v>
      </c>
      <c r="M64" s="23">
        <f>_xlfn.IFNA(VLOOKUP(TrCeib1181520[[#This Row],[BUS]],_xlfn._xlws.SORT(VeredaTr1291621[[BUS]:[T2]],11,-1,FALSE),11,FALSE),0)</f>
        <v>0.14722222222222214</v>
      </c>
      <c r="N64" s="23">
        <f>+TrCeib1181520[[#This Row],[∑TrCeib]]+TrCeib1181520[[#This Row],[T2]]</f>
        <v>0.31666666666666654</v>
      </c>
      <c r="O64" s="23"/>
      <c r="P64"/>
      <c r="Q64"/>
      <c r="S64" s="28">
        <v>16</v>
      </c>
      <c r="T64" s="23">
        <v>0.6465277777777777</v>
      </c>
      <c r="U64" s="23">
        <f t="shared" si="11"/>
        <v>1.1111111111111072E-2</v>
      </c>
      <c r="V64" s="23">
        <f>VLOOKUP(VeredaTr1291621[[#This Row],[HORA]],'OFERTA (4)'!B:F,5,TRUE)</f>
        <v>6.9444444444444397E-3</v>
      </c>
      <c r="W64" s="23">
        <f t="shared" si="8"/>
        <v>3.6805555555555557E-2</v>
      </c>
      <c r="X64" s="23">
        <f t="shared" si="9"/>
        <v>0.68333333333333324</v>
      </c>
      <c r="Y64" s="23">
        <f t="shared" si="12"/>
        <v>-4.1666666666666519E-3</v>
      </c>
      <c r="Z64" s="23"/>
      <c r="AA64" s="23">
        <f t="shared" si="3"/>
        <v>0.64236111111111105</v>
      </c>
      <c r="AB64" s="30">
        <f t="shared" si="4"/>
        <v>3.6805555555555536E-2</v>
      </c>
      <c r="AC64" s="30">
        <f>SUMIF($S$4:S105,S64,$AB$4:AB105)</f>
        <v>0.11041666666666661</v>
      </c>
      <c r="AD64" s="23">
        <f>_xlfn.IFNA(VLOOKUP(VeredaTr1291621[[#This Row],[BUS]],_xlfn._xlws.SORT(TrCeib1181520[[BUS]:[T2]],11,-1,FALSE),11,FALSE),0)</f>
        <v>0.1680555555555554</v>
      </c>
      <c r="AE64" s="23">
        <f>+VeredaTr1291621[[#This Row],[∑VeredaTr]]+VeredaTr1291621[[#This Row],[T2]]</f>
        <v>0.27847222222222201</v>
      </c>
    </row>
    <row r="65" spans="1:31" x14ac:dyDescent="0.35">
      <c r="B65" s="28">
        <v>11</v>
      </c>
      <c r="C65" s="23">
        <v>0.62638888888888877</v>
      </c>
      <c r="D65" s="23">
        <f t="shared" si="5"/>
        <v>5.5555555555555358E-3</v>
      </c>
      <c r="E65" s="23">
        <f>VLOOKUP(TrCeib1181520[[#This Row],[HORA]],'OFERTA (4)'!I:M,5,TRUE)</f>
        <v>4.8611111111111112E-3</v>
      </c>
      <c r="F65" s="23">
        <f t="shared" si="0"/>
        <v>4.2361111111111106E-2</v>
      </c>
      <c r="G65" s="23">
        <f t="shared" si="6"/>
        <v>0.66874999999999984</v>
      </c>
      <c r="H65" s="23">
        <f t="shared" si="7"/>
        <v>-6.9444444444444198E-4</v>
      </c>
      <c r="I65" s="23"/>
      <c r="J65" s="23">
        <f t="shared" si="1"/>
        <v>0.62569444444444433</v>
      </c>
      <c r="K65" s="30">
        <f>(G65-C65)+TrCeib1181520[[#This Row],[Tt_tex]]</f>
        <v>4.2361111111111072E-2</v>
      </c>
      <c r="L65" s="30">
        <f>SUMIF(B$4:$B65,TrCeib1181520[[#This Row],[BUS]],$K$4:K65)</f>
        <v>0.1694444444444444</v>
      </c>
      <c r="M65" s="23">
        <f>_xlfn.IFNA(VLOOKUP(TrCeib1181520[[#This Row],[BUS]],_xlfn._xlws.SORT(VeredaTr1291621[[BUS]:[T2]],11,-1,FALSE),11,FALSE),0)</f>
        <v>0.22083333333333321</v>
      </c>
      <c r="N65" s="23">
        <f>+TrCeib1181520[[#This Row],[∑TrCeib]]+TrCeib1181520[[#This Row],[T2]]</f>
        <v>0.39027777777777761</v>
      </c>
      <c r="O65" s="23"/>
      <c r="P65" s="40"/>
      <c r="Q65"/>
      <c r="S65" s="28">
        <v>17</v>
      </c>
      <c r="T65" s="23">
        <v>0.65763888888888877</v>
      </c>
      <c r="U65" s="23">
        <f>T65-T64</f>
        <v>1.1111111111111072E-2</v>
      </c>
      <c r="V65" s="23">
        <f>VLOOKUP(VeredaTr1291621[[#This Row],[HORA]],'OFERTA (4)'!B:F,5,TRUE)</f>
        <v>4.8611111111111112E-3</v>
      </c>
      <c r="W65" s="23">
        <f t="shared" si="8"/>
        <v>3.6805555555555557E-2</v>
      </c>
      <c r="X65" s="23">
        <f t="shared" si="9"/>
        <v>0.69444444444444431</v>
      </c>
      <c r="Y65" s="23">
        <f>+(T64+V65)-T65</f>
        <v>-6.2499999999999778E-3</v>
      </c>
      <c r="Z65" s="23"/>
      <c r="AA65" s="23">
        <f t="shared" si="3"/>
        <v>0.6513888888888888</v>
      </c>
      <c r="AB65" s="30">
        <f t="shared" si="4"/>
        <v>3.6805555555555536E-2</v>
      </c>
      <c r="AC65" s="30">
        <f>SUMIF($S$4:S65,S65,$AB$4:AB65)</f>
        <v>7.3611111111111072E-2</v>
      </c>
      <c r="AD65" s="23">
        <f>_xlfn.IFNA(VLOOKUP(VeredaTr1291621[[#This Row],[BUS]],_xlfn._xlws.SORT(TrCeib1181520[[BUS]:[T2]],11,-1,FALSE),11,FALSE),0)</f>
        <v>0.1680555555555554</v>
      </c>
      <c r="AE65" s="23">
        <f>+VeredaTr1291621[[#This Row],[∑VeredaTr]]+VeredaTr1291621[[#This Row],[T2]]</f>
        <v>0.24166666666666647</v>
      </c>
    </row>
    <row r="66" spans="1:31" x14ac:dyDescent="0.35">
      <c r="A66" t="s">
        <v>70</v>
      </c>
      <c r="B66" s="28">
        <v>12</v>
      </c>
      <c r="C66" s="23">
        <v>0.63194444444444431</v>
      </c>
      <c r="D66" s="23">
        <f t="shared" si="5"/>
        <v>5.5555555555555358E-3</v>
      </c>
      <c r="E66" s="23">
        <f>VLOOKUP(TrCeib1181520[[#This Row],[HORA]],'OFERTA (4)'!I:M,5,TRUE)</f>
        <v>4.8611111111111112E-3</v>
      </c>
      <c r="F66" s="23">
        <f t="shared" si="0"/>
        <v>4.2361111111111106E-2</v>
      </c>
      <c r="G66" s="23">
        <f t="shared" si="6"/>
        <v>0.67430555555555538</v>
      </c>
      <c r="H66" s="23">
        <f t="shared" si="7"/>
        <v>-6.9444444444444198E-4</v>
      </c>
      <c r="I66" s="23"/>
      <c r="J66" s="23">
        <f t="shared" si="1"/>
        <v>0.63124999999999987</v>
      </c>
      <c r="K66" s="30">
        <f>(G66-C66)+TrCeib1181520[[#This Row],[Tt_tex]]</f>
        <v>4.2361111111111072E-2</v>
      </c>
      <c r="L66" s="30">
        <f>SUMIF(B$4:$B66,TrCeib1181520[[#This Row],[BUS]],$K$4:K66)</f>
        <v>0.1694444444444444</v>
      </c>
      <c r="M66" s="23">
        <f>_xlfn.IFNA(VLOOKUP(TrCeib1181520[[#This Row],[BUS]],_xlfn._xlws.SORT(VeredaTr1291621[[BUS]:[T2]],11,-1,FALSE),11,FALSE),0)</f>
        <v>0.14722222222222214</v>
      </c>
      <c r="N66" s="23">
        <f>+TrCeib1181520[[#This Row],[∑TrCeib]]+TrCeib1181520[[#This Row],[T2]]</f>
        <v>0.31666666666666654</v>
      </c>
      <c r="O66" s="23"/>
      <c r="P66" s="40"/>
      <c r="Q66"/>
      <c r="R66" t="s">
        <v>63</v>
      </c>
      <c r="S66" s="28">
        <v>8</v>
      </c>
      <c r="T66" s="23">
        <v>0.66319444444444442</v>
      </c>
      <c r="U66" s="23">
        <f t="shared" ref="U66:U105" si="13">T66-T65</f>
        <v>5.5555555555556468E-3</v>
      </c>
      <c r="V66" s="23">
        <f>VLOOKUP(VeredaTr1291621[[#This Row],[HORA]],'OFERTA (4)'!B:F,5,TRUE)</f>
        <v>4.8611111111111112E-3</v>
      </c>
      <c r="W66" s="23">
        <f t="shared" si="8"/>
        <v>3.6805555555555557E-2</v>
      </c>
      <c r="X66" s="23">
        <f t="shared" si="9"/>
        <v>0.7</v>
      </c>
      <c r="Y66" s="23">
        <f t="shared" ref="Y66:Y105" si="14">+(T65+V66)-T66</f>
        <v>-6.94444444444553E-4</v>
      </c>
      <c r="Z66" s="23"/>
      <c r="AA66" s="23">
        <f>+T66+Y66</f>
        <v>0.66249999999999987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_xlfn.IFNA(VLOOKUP(VeredaTr1291621[[#This Row],[BUS]],_xlfn._xlws.SORT(TrCeib1181520[[BUS]:[T2]],11,-1,FALSE),11,FALSE),0)</f>
        <v>0.21180555555555547</v>
      </c>
      <c r="AE66" s="23">
        <f>+VeredaTr1291621[[#This Row],[∑VeredaTr]]+VeredaTr1291621[[#This Row],[T2]]</f>
        <v>0.35902777777777761</v>
      </c>
    </row>
    <row r="67" spans="1:31" x14ac:dyDescent="0.35">
      <c r="B67" s="28">
        <v>13</v>
      </c>
      <c r="C67" s="23">
        <v>0.63749999999999984</v>
      </c>
      <c r="D67" s="23">
        <f t="shared" si="5"/>
        <v>5.5555555555555358E-3</v>
      </c>
      <c r="E67" s="23">
        <f>VLOOKUP(TrCeib1181520[[#This Row],[HORA]],'OFERTA (4)'!I:M,5,TRUE)</f>
        <v>4.8611111111111112E-3</v>
      </c>
      <c r="F67" s="23">
        <f t="shared" si="0"/>
        <v>4.2361111111111106E-2</v>
      </c>
      <c r="G67" s="23">
        <f t="shared" si="6"/>
        <v>0.67986111111111092</v>
      </c>
      <c r="H67" s="23">
        <f t="shared" si="7"/>
        <v>-6.9444444444444198E-4</v>
      </c>
      <c r="I67" s="23"/>
      <c r="J67" s="23">
        <f t="shared" si="1"/>
        <v>0.6368055555555554</v>
      </c>
      <c r="K67" s="30">
        <f>(G67-C67)+TrCeib1181520[[#This Row],[Tt_tex]]</f>
        <v>4.2361111111111072E-2</v>
      </c>
      <c r="L67" s="30">
        <f>SUMIF(B$4:$B67,TrCeib1181520[[#This Row],[BUS]],$K$4:K67)</f>
        <v>0.1694444444444444</v>
      </c>
      <c r="M67" s="23">
        <f>_xlfn.IFNA(VLOOKUP(TrCeib1181520[[#This Row],[BUS]],_xlfn._xlws.SORT(VeredaTr1291621[[BUS]:[T2]],11,-1,FALSE),11,FALSE),0)</f>
        <v>0.22083333333333321</v>
      </c>
      <c r="N67" s="23">
        <f>+TrCeib1181520[[#This Row],[∑TrCeib]]+TrCeib1181520[[#This Row],[T2]]</f>
        <v>0.39027777777777761</v>
      </c>
      <c r="O67" s="23"/>
      <c r="P67" s="40"/>
      <c r="Q67"/>
      <c r="S67" s="28">
        <v>11</v>
      </c>
      <c r="T67" s="23">
        <v>0.66874999999999984</v>
      </c>
      <c r="U67" s="23">
        <f t="shared" si="13"/>
        <v>5.5555555555554248E-3</v>
      </c>
      <c r="V67" s="23">
        <f>VLOOKUP(VeredaTr1291621[[#This Row],[HORA]],'OFERTA (4)'!B:F,5,TRUE)</f>
        <v>4.8611111111111112E-3</v>
      </c>
      <c r="W67" s="23">
        <f t="shared" si="8"/>
        <v>3.6805555555555557E-2</v>
      </c>
      <c r="X67" s="23">
        <f t="shared" si="9"/>
        <v>0.70555555555555538</v>
      </c>
      <c r="Y67" s="23">
        <f t="shared" si="14"/>
        <v>-6.9444444444433095E-4</v>
      </c>
      <c r="Z67" s="23"/>
      <c r="AA67" s="23">
        <f t="shared" si="3"/>
        <v>0.66805555555555551</v>
      </c>
      <c r="AB67" s="30">
        <f t="shared" si="4"/>
        <v>3.6805555555555536E-2</v>
      </c>
      <c r="AC67" s="30">
        <f>SUMIF($S$4:S67,S67,$AB$4:AB67)</f>
        <v>0.18402777777777768</v>
      </c>
      <c r="AD67" s="23">
        <f>_xlfn.IFNA(VLOOKUP(VeredaTr1291621[[#This Row],[BUS]],_xlfn._xlws.SORT(TrCeib1181520[[BUS]:[T2]],11,-1,FALSE),11,FALSE),0)</f>
        <v>0.25416666666666654</v>
      </c>
      <c r="AE67" s="23">
        <f>+VeredaTr1291621[[#This Row],[∑VeredaTr]]+VeredaTr1291621[[#This Row],[T2]]</f>
        <v>0.43819444444444422</v>
      </c>
    </row>
    <row r="68" spans="1:31" x14ac:dyDescent="0.35">
      <c r="B68" s="28">
        <v>7</v>
      </c>
      <c r="C68" s="23">
        <v>0.64791666666666647</v>
      </c>
      <c r="D68" s="23">
        <f t="shared" si="5"/>
        <v>1.041666666666663E-2</v>
      </c>
      <c r="E68" s="23">
        <f>VLOOKUP(TrCeib1181520[[#This Row],[HORA]],'OFERTA (4)'!I:M,5,TRUE)</f>
        <v>4.8611111111111112E-3</v>
      </c>
      <c r="F68" s="23">
        <f t="shared" si="0"/>
        <v>4.2361111111111106E-2</v>
      </c>
      <c r="G68" s="23">
        <f t="shared" si="6"/>
        <v>0.69027777777777755</v>
      </c>
      <c r="H68" s="23">
        <f t="shared" si="7"/>
        <v>-5.5555555555555358E-3</v>
      </c>
      <c r="I68" s="23"/>
      <c r="J68" s="23">
        <f t="shared" ref="J68:J104" si="15">+C68+H68</f>
        <v>0.64236111111111094</v>
      </c>
      <c r="K68" s="30">
        <f>(G68-C68)+TrCeib1181520[[#This Row],[Tt_tex]]</f>
        <v>4.2361111111111072E-2</v>
      </c>
      <c r="L68" s="30">
        <f>SUMIF(B$4:$B68,TrCeib1181520[[#This Row],[BUS]],$K$4:K68)</f>
        <v>0.1694444444444444</v>
      </c>
      <c r="M68" s="23">
        <f>_xlfn.IFNA(VLOOKUP(TrCeib1181520[[#This Row],[BUS]],_xlfn._xlws.SORT(VeredaTr1291621[[BUS]:[T2]],11,-1,FALSE),11,FALSE),0)</f>
        <v>0.22083333333333324</v>
      </c>
      <c r="N68" s="23">
        <f>+TrCeib1181520[[#This Row],[∑TrCeib]]+TrCeib1181520[[#This Row],[T2]]</f>
        <v>0.39027777777777761</v>
      </c>
      <c r="O68" s="23"/>
      <c r="P68" s="40"/>
      <c r="Q68"/>
      <c r="R68" t="s">
        <v>63</v>
      </c>
      <c r="S68" s="28">
        <v>1</v>
      </c>
      <c r="T68" s="23">
        <v>0.6743055555555556</v>
      </c>
      <c r="U68" s="23">
        <f t="shared" si="13"/>
        <v>5.5555555555557579E-3</v>
      </c>
      <c r="V68" s="23">
        <f>VLOOKUP(VeredaTr1291621[[#This Row],[HORA]],'OFERTA (4)'!B:F,5,TRUE)</f>
        <v>4.8611111111111112E-3</v>
      </c>
      <c r="W68" s="23">
        <f t="shared" si="8"/>
        <v>3.6805555555555557E-2</v>
      </c>
      <c r="X68" s="23">
        <f t="shared" si="9"/>
        <v>0.71111111111111114</v>
      </c>
      <c r="Y68" s="23">
        <f t="shared" si="14"/>
        <v>-6.9444444444466402E-4</v>
      </c>
      <c r="Z68" s="23"/>
      <c r="AA68" s="23">
        <f>+T68+Y68</f>
        <v>0.67361111111111094</v>
      </c>
      <c r="AB68" s="30">
        <f>(X68-T68)</f>
        <v>3.6805555555555536E-2</v>
      </c>
      <c r="AC68" s="30">
        <f>SUMIF($S$4:S68,S68,$AB$4:AB68)</f>
        <v>0.14722222222222214</v>
      </c>
      <c r="AD68" s="23">
        <f>_xlfn.IFNA(VLOOKUP(VeredaTr1291621[[#This Row],[BUS]],_xlfn._xlws.SORT(TrCeib1181520[[BUS]:[T2]],11,-1,FALSE),11,FALSE),0)</f>
        <v>0.2541666666666666</v>
      </c>
      <c r="AE68" s="23">
        <f>+VeredaTr1291621[[#This Row],[∑VeredaTr]]+VeredaTr1291621[[#This Row],[T2]]</f>
        <v>0.40138888888888874</v>
      </c>
    </row>
    <row r="69" spans="1:31" x14ac:dyDescent="0.35">
      <c r="B69" s="28">
        <v>18</v>
      </c>
      <c r="C69" s="23">
        <v>0.66111111111111109</v>
      </c>
      <c r="D69" s="23">
        <f t="shared" ref="D69:D104" si="16">C69-C68</f>
        <v>1.319444444444462E-2</v>
      </c>
      <c r="E69" s="23">
        <f>VLOOKUP(TrCeib1181520[[#This Row],[HORA]],'OFERTA (4)'!I:M,5,TRUE)</f>
        <v>4.8611111111111112E-3</v>
      </c>
      <c r="F69" s="47">
        <v>4.0972222222222222E-2</v>
      </c>
      <c r="G69" s="23">
        <f t="shared" ref="G69:G104" si="17">C69+F69</f>
        <v>0.70208333333333328</v>
      </c>
      <c r="H69" s="23">
        <f t="shared" ref="H69:H104" si="18">+(C68+E69)-C69</f>
        <v>-8.3333333333335258E-3</v>
      </c>
      <c r="I69" s="23"/>
      <c r="J69" s="23">
        <f t="shared" si="15"/>
        <v>0.65277777777777757</v>
      </c>
      <c r="K69" s="30">
        <f>(G69-C69)+TrCeib1181520[[#This Row],[Tt_tex]]</f>
        <v>4.0972222222222188E-2</v>
      </c>
      <c r="L69" s="30">
        <f>SUMIF(B$4:$B69,TrCeib1181520[[#This Row],[BUS]],$K$4:K69)</f>
        <v>8.3333333333333259E-2</v>
      </c>
      <c r="M69" s="23">
        <f>_xlfn.IFNA(VLOOKUP(TrCeib1181520[[#This Row],[BUS]],_xlfn._xlws.SORT(VeredaTr1291621[[BUS]:[T2]],11,-1,FALSE),11,FALSE),0)</f>
        <v>0.14722222222222214</v>
      </c>
      <c r="N69" s="23">
        <f>+TrCeib1181520[[#This Row],[∑TrCeib]]+TrCeib1181520[[#This Row],[T2]]</f>
        <v>0.2305555555555554</v>
      </c>
      <c r="O69" s="23"/>
      <c r="P69"/>
      <c r="Q69"/>
      <c r="S69" s="28">
        <v>13</v>
      </c>
      <c r="T69" s="23">
        <v>0.67986111111111092</v>
      </c>
      <c r="U69" s="23">
        <f t="shared" si="13"/>
        <v>5.5555555555553138E-3</v>
      </c>
      <c r="V69" s="23">
        <f>VLOOKUP(VeredaTr1291621[[#This Row],[HORA]],'OFERTA (4)'!B:F,5,TRUE)</f>
        <v>4.8611111111111112E-3</v>
      </c>
      <c r="W69" s="23">
        <f t="shared" ref="W69:W105" si="19">+$U$2</f>
        <v>3.6805555555555557E-2</v>
      </c>
      <c r="X69" s="23">
        <f t="shared" ref="X69:X105" si="20">+T69+W69</f>
        <v>0.71666666666666645</v>
      </c>
      <c r="Y69" s="23">
        <f t="shared" si="14"/>
        <v>-6.9444444444421993E-4</v>
      </c>
      <c r="Z69" s="23"/>
      <c r="AA69" s="23">
        <f t="shared" si="3"/>
        <v>0.6791666666666667</v>
      </c>
      <c r="AB69" s="30">
        <f t="shared" si="4"/>
        <v>3.6805555555555536E-2</v>
      </c>
      <c r="AC69" s="30">
        <f>SUMIF($S$4:S69,S69,$AB$4:AB69)</f>
        <v>0.18402777777777768</v>
      </c>
      <c r="AD69" s="23">
        <f>_xlfn.IFNA(VLOOKUP(VeredaTr1291621[[#This Row],[BUS]],_xlfn._xlws.SORT(TrCeib1181520[[BUS]:[T2]],11,-1,FALSE),11,FALSE),0)</f>
        <v>0.25416666666666654</v>
      </c>
      <c r="AE69" s="23">
        <f>+VeredaTr1291621[[#This Row],[∑VeredaTr]]+VeredaTr1291621[[#This Row],[T2]]</f>
        <v>0.43819444444444422</v>
      </c>
    </row>
    <row r="70" spans="1:31" x14ac:dyDescent="0.35">
      <c r="B70" s="28">
        <v>4</v>
      </c>
      <c r="C70" s="23">
        <v>0.67222222222222217</v>
      </c>
      <c r="D70" s="23">
        <f t="shared" si="16"/>
        <v>1.1111111111111072E-2</v>
      </c>
      <c r="E70" s="23">
        <f>VLOOKUP(TrCeib1181520[[#This Row],[HORA]],'OFERTA (4)'!I:M,5,TRUE)</f>
        <v>4.8611111111111112E-3</v>
      </c>
      <c r="F70" s="47">
        <v>4.0972222222222222E-2</v>
      </c>
      <c r="G70" s="23">
        <f t="shared" si="17"/>
        <v>0.71319444444444435</v>
      </c>
      <c r="H70" s="23">
        <f t="shared" si="18"/>
        <v>-6.2499999999999778E-3</v>
      </c>
      <c r="I70" s="23"/>
      <c r="J70" s="23">
        <f t="shared" si="15"/>
        <v>0.66597222222222219</v>
      </c>
      <c r="K70" s="30">
        <f>(G70-C70)+TrCeib1181520[[#This Row],[Tt_tex]]</f>
        <v>4.0972222222222188E-2</v>
      </c>
      <c r="L70" s="30">
        <f>SUMIF(B$4:$B70,TrCeib1181520[[#This Row],[BUS]],$K$4:K70)</f>
        <v>0.25277777777777777</v>
      </c>
      <c r="M70" s="23">
        <f>_xlfn.IFNA(VLOOKUP(TrCeib1181520[[#This Row],[BUS]],_xlfn._xlws.SORT(VeredaTr1291621[[BUS]:[T2]],11,-1,FALSE),11,FALSE),0)</f>
        <v>0.22083333333333321</v>
      </c>
      <c r="N70" s="23">
        <f>+TrCeib1181520[[#This Row],[∑TrCeib]]+TrCeib1181520[[#This Row],[T2]]</f>
        <v>0.47361111111111098</v>
      </c>
      <c r="O70" s="23"/>
      <c r="P70"/>
      <c r="Q70"/>
      <c r="R70" t="s">
        <v>63</v>
      </c>
      <c r="S70" s="28">
        <v>2</v>
      </c>
      <c r="T70" s="23">
        <v>0.68541666666666667</v>
      </c>
      <c r="U70" s="23">
        <f t="shared" si="13"/>
        <v>5.5555555555557579E-3</v>
      </c>
      <c r="V70" s="23">
        <f>VLOOKUP(VeredaTr1291621[[#This Row],[HORA]],'OFERTA (4)'!B:F,5,TRUE)</f>
        <v>4.8611111111111112E-3</v>
      </c>
      <c r="W70" s="23">
        <f t="shared" si="19"/>
        <v>3.6805555555555557E-2</v>
      </c>
      <c r="X70" s="23">
        <f t="shared" si="20"/>
        <v>0.72222222222222221</v>
      </c>
      <c r="Y70" s="23">
        <f t="shared" si="14"/>
        <v>-6.9444444444466402E-4</v>
      </c>
      <c r="Z70" s="23"/>
      <c r="AA70" s="23">
        <f>+T70+Y70</f>
        <v>0.68472222222222201</v>
      </c>
      <c r="AB70" s="30">
        <f>(X70-T70)</f>
        <v>3.6805555555555536E-2</v>
      </c>
      <c r="AC70" s="30">
        <f>SUMIF($S$4:S70,S70,$AB$4:AB70)</f>
        <v>0.14722222222222214</v>
      </c>
      <c r="AD70" s="23">
        <f>_xlfn.IFNA(VLOOKUP(VeredaTr1291621[[#This Row],[BUS]],_xlfn._xlws.SORT(TrCeib1181520[[BUS]:[T2]],11,-1,FALSE),11,FALSE),0)</f>
        <v>0.25416666666666654</v>
      </c>
      <c r="AE70" s="23">
        <f>+VeredaTr1291621[[#This Row],[∑VeredaTr]]+VeredaTr1291621[[#This Row],[T2]]</f>
        <v>0.40138888888888868</v>
      </c>
    </row>
    <row r="71" spans="1:31" x14ac:dyDescent="0.35">
      <c r="B71" s="28">
        <v>16</v>
      </c>
      <c r="C71" s="23">
        <v>0.68333333333333324</v>
      </c>
      <c r="D71" s="23">
        <f t="shared" si="16"/>
        <v>1.1111111111111072E-2</v>
      </c>
      <c r="E71" s="23">
        <f>VLOOKUP(TrCeib1181520[[#This Row],[HORA]],'OFERTA (4)'!I:M,5,TRUE)</f>
        <v>4.8611111111111112E-3</v>
      </c>
      <c r="F71" s="47">
        <v>4.0972222222222222E-2</v>
      </c>
      <c r="G71" s="23">
        <f t="shared" si="17"/>
        <v>0.72430555555555542</v>
      </c>
      <c r="H71" s="23">
        <f t="shared" si="18"/>
        <v>-6.2499999999999778E-3</v>
      </c>
      <c r="I71" s="23"/>
      <c r="J71" s="23">
        <f t="shared" si="15"/>
        <v>0.67708333333333326</v>
      </c>
      <c r="K71" s="30">
        <f>(G71-C71)+TrCeib1181520[[#This Row],[Tt_tex]]</f>
        <v>4.0972222222222188E-2</v>
      </c>
      <c r="L71" s="30">
        <f>SUMIF(B$4:$B71,TrCeib1181520[[#This Row],[BUS]],$K$4:K71)</f>
        <v>0.12569444444444433</v>
      </c>
      <c r="M71" s="23">
        <f>_xlfn.IFNA(VLOOKUP(TrCeib1181520[[#This Row],[BUS]],_xlfn._xlws.SORT(VeredaTr1291621[[BUS]:[T2]],11,-1,FALSE),11,FALSE),0)</f>
        <v>0.11041666666666661</v>
      </c>
      <c r="N71" s="23">
        <f>+TrCeib1181520[[#This Row],[∑TrCeib]]+TrCeib1181520[[#This Row],[T2]]</f>
        <v>0.23611111111111094</v>
      </c>
      <c r="O71" s="23"/>
      <c r="P71"/>
      <c r="Q71"/>
      <c r="S71" s="28">
        <v>7</v>
      </c>
      <c r="T71" s="23">
        <v>0.69097222222222221</v>
      </c>
      <c r="U71" s="23">
        <f t="shared" si="13"/>
        <v>5.5555555555555358E-3</v>
      </c>
      <c r="V71" s="23">
        <f>VLOOKUP(VeredaTr1291621[[#This Row],[HORA]],'OFERTA (4)'!B:F,5,TRUE)</f>
        <v>4.8611111111111112E-3</v>
      </c>
      <c r="W71" s="23">
        <f t="shared" si="19"/>
        <v>3.6805555555555557E-2</v>
      </c>
      <c r="X71" s="23">
        <f t="shared" si="20"/>
        <v>0.72777777777777775</v>
      </c>
      <c r="Y71" s="23">
        <f t="shared" si="14"/>
        <v>-6.9444444444444198E-4</v>
      </c>
      <c r="Z71" s="23">
        <v>6.9444444444466402E-4</v>
      </c>
      <c r="AA71" s="23">
        <f>+T71+Y71</f>
        <v>0.69027777777777777</v>
      </c>
      <c r="AB71" s="30">
        <f>(X71-T71)</f>
        <v>3.6805555555555536E-2</v>
      </c>
      <c r="AC71" s="30">
        <f>SUMIF($S$4:S71,S71,$AB$4:AB71)</f>
        <v>0.18402777777777771</v>
      </c>
      <c r="AD71" s="23">
        <f>_xlfn.IFNA(VLOOKUP(VeredaTr1291621[[#This Row],[BUS]],_xlfn._xlws.SORT(TrCeib1181520[[BUS]:[T2]],11,-1,FALSE),11,FALSE),0)</f>
        <v>0.25416666666666654</v>
      </c>
      <c r="AE71" s="23">
        <f>+VeredaTr1291621[[#This Row],[∑VeredaTr]]+VeredaTr1291621[[#This Row],[T2]]</f>
        <v>0.43819444444444422</v>
      </c>
    </row>
    <row r="72" spans="1:31" x14ac:dyDescent="0.35">
      <c r="B72" s="28">
        <v>17</v>
      </c>
      <c r="C72" s="23">
        <v>0.69444444444444431</v>
      </c>
      <c r="D72" s="23">
        <f t="shared" si="16"/>
        <v>1.1111111111111072E-2</v>
      </c>
      <c r="E72" s="23">
        <f>VLOOKUP(TrCeib1181520[[#This Row],[HORA]],'OFERTA (4)'!I:M,5,TRUE)</f>
        <v>4.8611111111111112E-3</v>
      </c>
      <c r="F72" s="47">
        <v>4.0972222222222222E-2</v>
      </c>
      <c r="G72" s="23">
        <f t="shared" si="17"/>
        <v>0.7354166666666665</v>
      </c>
      <c r="H72" s="23">
        <f t="shared" si="18"/>
        <v>-6.2499999999999778E-3</v>
      </c>
      <c r="I72" s="23"/>
      <c r="J72" s="23">
        <f t="shared" si="15"/>
        <v>0.68819444444444433</v>
      </c>
      <c r="K72" s="30">
        <f>(G72-C72)+TrCeib1181520[[#This Row],[Tt_tex]]</f>
        <v>4.0972222222222188E-2</v>
      </c>
      <c r="L72" s="30">
        <f>SUMIF(B$4:$B72,TrCeib1181520[[#This Row],[BUS]],$K$4:K72)</f>
        <v>0.12569444444444433</v>
      </c>
      <c r="M72" s="23">
        <f>_xlfn.IFNA(VLOOKUP(TrCeib1181520[[#This Row],[BUS]],_xlfn._xlws.SORT(VeredaTr1291621[[BUS]:[T2]],11,-1,FALSE),11,FALSE),0)</f>
        <v>0.11041666666666661</v>
      </c>
      <c r="N72" s="23">
        <f>+TrCeib1181520[[#This Row],[∑TrCeib]]+TrCeib1181520[[#This Row],[T2]]</f>
        <v>0.23611111111111094</v>
      </c>
      <c r="O72" s="23"/>
      <c r="P72"/>
      <c r="Q72"/>
      <c r="R72" t="s">
        <v>63</v>
      </c>
      <c r="S72" s="28">
        <v>14</v>
      </c>
      <c r="T72" s="23">
        <v>0.69652777777777775</v>
      </c>
      <c r="U72" s="23">
        <f t="shared" si="13"/>
        <v>5.5555555555555358E-3</v>
      </c>
      <c r="V72" s="23">
        <f>VLOOKUP(VeredaTr1291621[[#This Row],[HORA]],'OFERTA (4)'!B:F,5,TRUE)</f>
        <v>4.8611111111111112E-3</v>
      </c>
      <c r="W72" s="23">
        <f t="shared" si="19"/>
        <v>3.6805555555555557E-2</v>
      </c>
      <c r="X72" s="23">
        <f t="shared" si="20"/>
        <v>0.73333333333333328</v>
      </c>
      <c r="Y72" s="23">
        <f t="shared" si="14"/>
        <v>-6.9444444444444198E-4</v>
      </c>
      <c r="Z72" s="23"/>
      <c r="AA72" s="23">
        <f>+T72+Y72</f>
        <v>0.6958333333333333</v>
      </c>
      <c r="AB72" s="30">
        <f>(X72-T72)</f>
        <v>3.6805555555555536E-2</v>
      </c>
      <c r="AC72" s="30">
        <f>SUMIF($S$4:S72,S72,$AB$4:AB72)</f>
        <v>0.14722222222222214</v>
      </c>
      <c r="AD72" s="23">
        <f>_xlfn.IFNA(VLOOKUP(VeredaTr1291621[[#This Row],[BUS]],_xlfn._xlws.SORT(TrCeib1181520[[BUS]:[T2]],11,-1,FALSE),11,FALSE),0)</f>
        <v>0.16944444444444434</v>
      </c>
      <c r="AE72" s="23">
        <f>+VeredaTr1291621[[#This Row],[∑VeredaTr]]+VeredaTr1291621[[#This Row],[T2]]</f>
        <v>0.31666666666666649</v>
      </c>
    </row>
    <row r="73" spans="1:31" x14ac:dyDescent="0.35">
      <c r="B73" s="28">
        <v>8</v>
      </c>
      <c r="C73" s="23">
        <v>0.7</v>
      </c>
      <c r="D73" s="23">
        <f t="shared" si="16"/>
        <v>5.5555555555556468E-3</v>
      </c>
      <c r="E73" s="23">
        <f>VLOOKUP(TrCeib1181520[[#This Row],[HORA]],'OFERTA (4)'!I:M,5,TRUE)</f>
        <v>4.8611111111111112E-3</v>
      </c>
      <c r="F73" s="23">
        <f t="shared" si="0"/>
        <v>4.2361111111111106E-2</v>
      </c>
      <c r="G73" s="23">
        <f t="shared" si="17"/>
        <v>0.74236111111111103</v>
      </c>
      <c r="H73" s="23">
        <f t="shared" si="18"/>
        <v>-6.94444444444553E-4</v>
      </c>
      <c r="I73" s="23"/>
      <c r="J73" s="23">
        <f t="shared" si="15"/>
        <v>0.6993055555555554</v>
      </c>
      <c r="K73" s="30">
        <f>(G73-C73)+TrCeib1181520[[#This Row],[Tt_tex]]</f>
        <v>4.2361111111111072E-2</v>
      </c>
      <c r="L73" s="30">
        <f>SUMIF(B$4:$B73,TrCeib1181520[[#This Row],[BUS]],$K$4:K73)</f>
        <v>0.1694444444444444</v>
      </c>
      <c r="M73" s="23">
        <f>_xlfn.IFNA(VLOOKUP(TrCeib1181520[[#This Row],[BUS]],_xlfn._xlws.SORT(VeredaTr1291621[[BUS]:[T2]],11,-1,FALSE),11,FALSE),0)</f>
        <v>0.22083333333333321</v>
      </c>
      <c r="N73" s="23">
        <f>+TrCeib1181520[[#This Row],[∑TrCeib]]+TrCeib1181520[[#This Row],[T2]]</f>
        <v>0.39027777777777761</v>
      </c>
      <c r="O73" s="23"/>
      <c r="P73" s="40"/>
      <c r="Q73"/>
      <c r="S73" s="28">
        <v>18</v>
      </c>
      <c r="T73" s="23">
        <v>0.70208333333333328</v>
      </c>
      <c r="U73" s="23">
        <f t="shared" si="13"/>
        <v>5.5555555555555358E-3</v>
      </c>
      <c r="V73" s="23">
        <f>VLOOKUP(VeredaTr1291621[[#This Row],[HORA]],'OFERTA (4)'!B:F,5,TRUE)</f>
        <v>4.8611111111111112E-3</v>
      </c>
      <c r="W73" s="23">
        <f t="shared" si="19"/>
        <v>3.6805555555555557E-2</v>
      </c>
      <c r="X73" s="23">
        <f t="shared" si="20"/>
        <v>0.73888888888888882</v>
      </c>
      <c r="Y73" s="23">
        <f t="shared" si="14"/>
        <v>-6.9444444444444198E-4</v>
      </c>
      <c r="Z73" s="23"/>
      <c r="AA73" s="23">
        <f t="shared" ref="AA73:AA105" si="21">+T73+Y73</f>
        <v>0.70138888888888884</v>
      </c>
      <c r="AB73" s="30">
        <f t="shared" ref="AB73:AB105" si="22">(X73-T73)</f>
        <v>3.6805555555555536E-2</v>
      </c>
      <c r="AC73" s="30">
        <f>SUMIF($S$4:S73,S73,$AB$4:AB73)</f>
        <v>0.11041666666666661</v>
      </c>
      <c r="AD73" s="23">
        <f>_xlfn.IFNA(VLOOKUP(VeredaTr1291621[[#This Row],[BUS]],_xlfn._xlws.SORT(TrCeib1181520[[BUS]:[T2]],11,-1,FALSE),11,FALSE),0)</f>
        <v>0.12569444444444433</v>
      </c>
      <c r="AE73" s="23">
        <f>+VeredaTr1291621[[#This Row],[∑VeredaTr]]+VeredaTr1291621[[#This Row],[T2]]</f>
        <v>0.23611111111111094</v>
      </c>
    </row>
    <row r="74" spans="1:31" x14ac:dyDescent="0.35">
      <c r="B74" s="28">
        <v>11</v>
      </c>
      <c r="C74" s="23">
        <v>0.70555555555555538</v>
      </c>
      <c r="D74" s="23">
        <f t="shared" si="16"/>
        <v>5.5555555555554248E-3</v>
      </c>
      <c r="E74" s="23">
        <f>VLOOKUP(TrCeib1181520[[#This Row],[HORA]],'OFERTA (4)'!I:M,5,TRUE)</f>
        <v>4.8611111111111112E-3</v>
      </c>
      <c r="F74" s="23">
        <f t="shared" ref="F74:F104" si="23">+$D$2</f>
        <v>4.2361111111111106E-2</v>
      </c>
      <c r="G74" s="23">
        <f t="shared" si="17"/>
        <v>0.74791666666666645</v>
      </c>
      <c r="H74" s="23">
        <f t="shared" si="18"/>
        <v>-6.9444444444433095E-4</v>
      </c>
      <c r="I74" s="23"/>
      <c r="J74" s="23">
        <f t="shared" si="15"/>
        <v>0.70486111111111105</v>
      </c>
      <c r="K74" s="30">
        <f>(G74-C74)+TrCeib1181520[[#This Row],[Tt_tex]]</f>
        <v>4.2361111111111072E-2</v>
      </c>
      <c r="L74" s="30">
        <f>SUMIF(B$4:$B74,TrCeib1181520[[#This Row],[BUS]],$K$4:K74)</f>
        <v>0.21180555555555547</v>
      </c>
      <c r="M74" s="23">
        <f>_xlfn.IFNA(VLOOKUP(TrCeib1181520[[#This Row],[BUS]],_xlfn._xlws.SORT(VeredaTr1291621[[BUS]:[T2]],11,-1,FALSE),11,FALSE),0)</f>
        <v>0.22083333333333321</v>
      </c>
      <c r="N74" s="23">
        <f>+TrCeib1181520[[#This Row],[∑TrCeib]]+TrCeib1181520[[#This Row],[T2]]</f>
        <v>0.43263888888888868</v>
      </c>
      <c r="O74" s="23"/>
      <c r="P74" s="40"/>
      <c r="Q74"/>
      <c r="R74" t="s">
        <v>63</v>
      </c>
      <c r="S74" s="28">
        <v>3</v>
      </c>
      <c r="T74" s="23">
        <v>0.70763888888888893</v>
      </c>
      <c r="U74" s="23">
        <f t="shared" si="13"/>
        <v>5.5555555555556468E-3</v>
      </c>
      <c r="V74" s="23">
        <f>VLOOKUP(VeredaTr1291621[[#This Row],[HORA]],'OFERTA (4)'!B:F,5,TRUE)</f>
        <v>4.8611111111111112E-3</v>
      </c>
      <c r="W74" s="23">
        <f t="shared" si="19"/>
        <v>3.6805555555555557E-2</v>
      </c>
      <c r="X74" s="23">
        <f t="shared" si="20"/>
        <v>0.74444444444444446</v>
      </c>
      <c r="Y74" s="23">
        <f t="shared" si="14"/>
        <v>-6.94444444444553E-4</v>
      </c>
      <c r="Z74" s="23"/>
      <c r="AA74" s="23">
        <f>+T74+Y74</f>
        <v>0.70694444444444438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_xlfn.IFNA(VLOOKUP(VeredaTr1291621[[#This Row],[BUS]],_xlfn._xlws.SORT(TrCeib1181520[[BUS]:[T2]],11,-1,FALSE),11,FALSE),0)</f>
        <v>0.2118055555555555</v>
      </c>
      <c r="AE74" s="23">
        <f>+VeredaTr1291621[[#This Row],[∑VeredaTr]]+VeredaTr1291621[[#This Row],[T2]]</f>
        <v>0.35902777777777761</v>
      </c>
    </row>
    <row r="75" spans="1:31" x14ac:dyDescent="0.35">
      <c r="B75" s="28">
        <v>1</v>
      </c>
      <c r="C75" s="23">
        <v>0.71111111111111114</v>
      </c>
      <c r="D75" s="23">
        <f t="shared" si="16"/>
        <v>5.5555555555557579E-3</v>
      </c>
      <c r="E75" s="23">
        <f>VLOOKUP(TrCeib1181520[[#This Row],[HORA]],'OFERTA (4)'!I:M,5,TRUE)</f>
        <v>4.8611111111111103E-3</v>
      </c>
      <c r="F75" s="23">
        <f t="shared" si="23"/>
        <v>4.2361111111111106E-2</v>
      </c>
      <c r="G75" s="23">
        <f t="shared" si="17"/>
        <v>0.75347222222222221</v>
      </c>
      <c r="H75" s="23">
        <f t="shared" si="18"/>
        <v>-6.9444444444466402E-4</v>
      </c>
      <c r="I75" s="23"/>
      <c r="J75" s="23">
        <f t="shared" si="15"/>
        <v>0.71041666666666647</v>
      </c>
      <c r="K75" s="30">
        <f>(G75-C75)+TrCeib1181520[[#This Row],[Tt_tex]]</f>
        <v>4.2361111111111072E-2</v>
      </c>
      <c r="L75" s="30">
        <f>SUMIF(B$4:$B75,TrCeib1181520[[#This Row],[BUS]],$K$4:K75)</f>
        <v>0.21180555555555552</v>
      </c>
      <c r="M75" s="23">
        <f>_xlfn.IFNA(VLOOKUP(TrCeib1181520[[#This Row],[BUS]],_xlfn._xlws.SORT(VeredaTr1291621[[BUS]:[T2]],11,-1,FALSE),11,FALSE),0)</f>
        <v>0.22083333333333321</v>
      </c>
      <c r="N75" s="23">
        <f>+TrCeib1181520[[#This Row],[∑TrCeib]]+TrCeib1181520[[#This Row],[T2]]</f>
        <v>0.43263888888888874</v>
      </c>
      <c r="P75" s="40"/>
      <c r="S75" s="28">
        <v>4</v>
      </c>
      <c r="T75" s="23">
        <v>0.71319444444444435</v>
      </c>
      <c r="U75" s="23">
        <f t="shared" si="13"/>
        <v>5.5555555555554248E-3</v>
      </c>
      <c r="V75" s="23">
        <f>VLOOKUP(VeredaTr1291621[[#This Row],[HORA]],'OFERTA (4)'!B:F,5,TRUE)</f>
        <v>4.8611111111111112E-3</v>
      </c>
      <c r="W75" s="23">
        <f t="shared" si="19"/>
        <v>3.6805555555555557E-2</v>
      </c>
      <c r="X75" s="23">
        <f t="shared" si="20"/>
        <v>0.74999999999999989</v>
      </c>
      <c r="Y75" s="23">
        <f t="shared" si="14"/>
        <v>-6.9444444444433095E-4</v>
      </c>
      <c r="Z75" s="23"/>
      <c r="AA75" s="23">
        <f t="shared" si="21"/>
        <v>0.71250000000000002</v>
      </c>
      <c r="AB75" s="30">
        <f t="shared" si="22"/>
        <v>3.6805555555555536E-2</v>
      </c>
      <c r="AC75" s="30">
        <f>SUMIF($S$4:S75,S75,$AB$4:AB75)</f>
        <v>0.18402777777777768</v>
      </c>
      <c r="AD75" s="23">
        <f>_xlfn.IFNA(VLOOKUP(VeredaTr1291621[[#This Row],[BUS]],_xlfn._xlws.SORT(TrCeib1181520[[BUS]:[T2]],11,-1,FALSE),11,FALSE),0)</f>
        <v>0.29513888888888884</v>
      </c>
      <c r="AE75" s="23">
        <f>+VeredaTr1291621[[#This Row],[∑VeredaTr]]+VeredaTr1291621[[#This Row],[T2]]</f>
        <v>0.47916666666666652</v>
      </c>
    </row>
    <row r="76" spans="1:31" x14ac:dyDescent="0.35">
      <c r="B76" s="28">
        <v>13</v>
      </c>
      <c r="C76" s="23">
        <v>0.71666666666666645</v>
      </c>
      <c r="D76" s="23">
        <f t="shared" si="16"/>
        <v>5.5555555555553138E-3</v>
      </c>
      <c r="E76" s="23">
        <f>VLOOKUP(TrCeib1181520[[#This Row],[HORA]],'OFERTA (4)'!I:M,5,TRUE)</f>
        <v>4.8611111111111103E-3</v>
      </c>
      <c r="F76" s="23">
        <f t="shared" si="23"/>
        <v>4.2361111111111106E-2</v>
      </c>
      <c r="G76" s="23">
        <f t="shared" si="17"/>
        <v>0.75902777777777752</v>
      </c>
      <c r="H76" s="23">
        <f t="shared" si="18"/>
        <v>-6.9444444444421993E-4</v>
      </c>
      <c r="I76" s="23"/>
      <c r="J76" s="23">
        <f t="shared" si="15"/>
        <v>0.71597222222222223</v>
      </c>
      <c r="K76" s="30">
        <f>(G76-C76)+TrCeib1181520[[#This Row],[Tt_tex]]</f>
        <v>4.2361111111111072E-2</v>
      </c>
      <c r="L76" s="30">
        <f>SUMIF(B$4:$B76,TrCeib1181520[[#This Row],[BUS]],$K$4:K76)</f>
        <v>0.21180555555555547</v>
      </c>
      <c r="M76" s="23">
        <f>_xlfn.IFNA(VLOOKUP(TrCeib1181520[[#This Row],[BUS]],_xlfn._xlws.SORT(VeredaTr1291621[[BUS]:[T2]],11,-1,FALSE),11,FALSE),0)</f>
        <v>0.22083333333333321</v>
      </c>
      <c r="N76" s="23">
        <f>+TrCeib1181520[[#This Row],[∑TrCeib]]+TrCeib1181520[[#This Row],[T2]]</f>
        <v>0.43263888888888868</v>
      </c>
      <c r="P76" s="40"/>
      <c r="R76" t="s">
        <v>63</v>
      </c>
      <c r="S76" s="28">
        <v>15</v>
      </c>
      <c r="T76" s="23">
        <v>0.71875</v>
      </c>
      <c r="U76" s="23">
        <f t="shared" si="13"/>
        <v>5.5555555555556468E-3</v>
      </c>
      <c r="V76" s="23">
        <f>VLOOKUP(VeredaTr1291621[[#This Row],[HORA]],'OFERTA (4)'!B:F,5,TRUE)</f>
        <v>4.8611111111111112E-3</v>
      </c>
      <c r="W76" s="23">
        <f t="shared" si="19"/>
        <v>3.6805555555555557E-2</v>
      </c>
      <c r="X76" s="23">
        <f t="shared" si="20"/>
        <v>0.75555555555555554</v>
      </c>
      <c r="Y76" s="23">
        <f t="shared" si="14"/>
        <v>-6.94444444444553E-4</v>
      </c>
      <c r="Z76" s="23"/>
      <c r="AA76" s="23">
        <f>+T76+Y76</f>
        <v>0.71805555555555545</v>
      </c>
      <c r="AB76" s="30">
        <f>(X76-T76)</f>
        <v>3.6805555555555536E-2</v>
      </c>
      <c r="AC76" s="30">
        <f>SUMIF($S$4:S76,S76,$AB$4:AB76)</f>
        <v>0.14722222222222214</v>
      </c>
      <c r="AD76" s="23">
        <f>_xlfn.IFNA(VLOOKUP(VeredaTr1291621[[#This Row],[BUS]],_xlfn._xlws.SORT(TrCeib1181520[[BUS]:[T2]],11,-1,FALSE),11,FALSE),0)</f>
        <v>0.16944444444444434</v>
      </c>
      <c r="AE76" s="23">
        <f>+VeredaTr1291621[[#This Row],[∑VeredaTr]]+VeredaTr1291621[[#This Row],[T2]]</f>
        <v>0.31666666666666649</v>
      </c>
    </row>
    <row r="77" spans="1:31" x14ac:dyDescent="0.35">
      <c r="B77" s="28">
        <v>2</v>
      </c>
      <c r="C77" s="23">
        <v>0.72222222222222221</v>
      </c>
      <c r="D77" s="23">
        <f t="shared" si="16"/>
        <v>5.5555555555557579E-3</v>
      </c>
      <c r="E77" s="23">
        <f>VLOOKUP(TrCeib1181520[[#This Row],[HORA]],'OFERTA (4)'!I:M,5,TRUE)</f>
        <v>4.8611111111111103E-3</v>
      </c>
      <c r="F77" s="23">
        <f t="shared" si="23"/>
        <v>4.2361111111111106E-2</v>
      </c>
      <c r="G77" s="23">
        <f t="shared" si="17"/>
        <v>0.76458333333333328</v>
      </c>
      <c r="H77" s="23">
        <f t="shared" si="18"/>
        <v>-6.9444444444466402E-4</v>
      </c>
      <c r="I77" s="23"/>
      <c r="J77" s="23">
        <f t="shared" si="15"/>
        <v>0.72152777777777755</v>
      </c>
      <c r="K77" s="30">
        <f>(G77-C77)+TrCeib1181520[[#This Row],[Tt_tex]]</f>
        <v>4.2361111111111072E-2</v>
      </c>
      <c r="L77" s="30">
        <f>SUMIF(B$4:$B77,TrCeib1181520[[#This Row],[BUS]],$K$4:K77)</f>
        <v>0.2118055555555555</v>
      </c>
      <c r="M77" s="23">
        <f>_xlfn.IFNA(VLOOKUP(TrCeib1181520[[#This Row],[BUS]],_xlfn._xlws.SORT(VeredaTr1291621[[BUS]:[T2]],11,-1,FALSE),11,FALSE),0)</f>
        <v>0.22083333333333321</v>
      </c>
      <c r="N77" s="23">
        <f>+TrCeib1181520[[#This Row],[∑TrCeib]]+TrCeib1181520[[#This Row],[T2]]</f>
        <v>0.43263888888888868</v>
      </c>
      <c r="P77" s="40"/>
      <c r="S77" s="28">
        <v>16</v>
      </c>
      <c r="T77" s="23">
        <v>0.72430555555555542</v>
      </c>
      <c r="U77" s="23">
        <f t="shared" si="13"/>
        <v>5.5555555555554248E-3</v>
      </c>
      <c r="V77" s="23">
        <f>VLOOKUP(VeredaTr1291621[[#This Row],[HORA]],'OFERTA (4)'!B:F,5,TRUE)</f>
        <v>4.8611111111111112E-3</v>
      </c>
      <c r="W77" s="23">
        <f t="shared" si="19"/>
        <v>3.6805555555555557E-2</v>
      </c>
      <c r="X77" s="23">
        <f t="shared" si="20"/>
        <v>0.76111111111111096</v>
      </c>
      <c r="Y77" s="23">
        <f t="shared" si="14"/>
        <v>-6.9444444444433095E-4</v>
      </c>
      <c r="Z77" s="23"/>
      <c r="AA77" s="23">
        <f t="shared" si="21"/>
        <v>0.72361111111111109</v>
      </c>
      <c r="AB77" s="30">
        <f t="shared" si="22"/>
        <v>3.6805555555555536E-2</v>
      </c>
      <c r="AC77" s="30">
        <f>SUMIF($S$4:S77,S77,$AB$4:AB77)</f>
        <v>0.11041666666666661</v>
      </c>
      <c r="AD77" s="23">
        <f>_xlfn.IFNA(VLOOKUP(VeredaTr1291621[[#This Row],[BUS]],_xlfn._xlws.SORT(TrCeib1181520[[BUS]:[T2]],11,-1,FALSE),11,FALSE),0)</f>
        <v>0.1680555555555554</v>
      </c>
      <c r="AE77" s="23">
        <f>+VeredaTr1291621[[#This Row],[∑VeredaTr]]+VeredaTr1291621[[#This Row],[T2]]</f>
        <v>0.27847222222222201</v>
      </c>
    </row>
    <row r="78" spans="1:31" x14ac:dyDescent="0.35">
      <c r="B78" s="28">
        <v>7</v>
      </c>
      <c r="C78" s="23">
        <v>0.72777777777777775</v>
      </c>
      <c r="D78" s="23">
        <f t="shared" si="16"/>
        <v>5.5555555555555358E-3</v>
      </c>
      <c r="E78" s="23">
        <f>VLOOKUP(TrCeib1181520[[#This Row],[HORA]],'OFERTA (4)'!I:M,5,TRUE)</f>
        <v>4.8611111111111103E-3</v>
      </c>
      <c r="F78" s="23">
        <f t="shared" si="23"/>
        <v>4.2361111111111106E-2</v>
      </c>
      <c r="G78" s="23">
        <f t="shared" si="17"/>
        <v>0.77013888888888882</v>
      </c>
      <c r="H78" s="23">
        <f t="shared" si="18"/>
        <v>-6.9444444444444198E-4</v>
      </c>
      <c r="I78" s="23"/>
      <c r="J78" s="23">
        <f t="shared" si="15"/>
        <v>0.7270833333333333</v>
      </c>
      <c r="K78" s="30">
        <f>(G78-C78)+TrCeib1181520[[#This Row],[Tt_tex]]</f>
        <v>4.2361111111111072E-2</v>
      </c>
      <c r="L78" s="30">
        <f>SUMIF(B$4:$B78,TrCeib1181520[[#This Row],[BUS]],$K$4:K78)</f>
        <v>0.21180555555555547</v>
      </c>
      <c r="M78" s="23">
        <f>_xlfn.IFNA(VLOOKUP(TrCeib1181520[[#This Row],[BUS]],_xlfn._xlws.SORT(VeredaTr1291621[[BUS]:[T2]],11,-1,FALSE),11,FALSE),0)</f>
        <v>0.22083333333333324</v>
      </c>
      <c r="N78" s="23">
        <f>+TrCeib1181520[[#This Row],[∑TrCeib]]+TrCeib1181520[[#This Row],[T2]]</f>
        <v>0.43263888888888868</v>
      </c>
      <c r="P78" s="40"/>
      <c r="R78" t="s">
        <v>63</v>
      </c>
      <c r="S78" s="28">
        <v>5</v>
      </c>
      <c r="T78" s="23">
        <v>0.72986111111111107</v>
      </c>
      <c r="U78" s="23">
        <f t="shared" si="13"/>
        <v>5.5555555555556468E-3</v>
      </c>
      <c r="V78" s="23">
        <f>VLOOKUP(VeredaTr1291621[[#This Row],[HORA]],'OFERTA (4)'!B:F,5,TRUE)</f>
        <v>4.8611111111111112E-3</v>
      </c>
      <c r="W78" s="23">
        <f t="shared" si="19"/>
        <v>3.6805555555555557E-2</v>
      </c>
      <c r="X78" s="23">
        <f t="shared" si="20"/>
        <v>0.76666666666666661</v>
      </c>
      <c r="Y78" s="23">
        <f t="shared" si="14"/>
        <v>-6.94444444444553E-4</v>
      </c>
      <c r="Z78" s="23"/>
      <c r="AA78" s="23">
        <f>+T78+Y78</f>
        <v>0.72916666666666652</v>
      </c>
      <c r="AB78" s="30">
        <f>(X78-T78)</f>
        <v>3.6805555555555536E-2</v>
      </c>
      <c r="AC78" s="30">
        <f>SUMIF($S$4:S78,S78,$AB$4:AB78)</f>
        <v>0.22083333333333321</v>
      </c>
      <c r="AD78" s="23">
        <f>_xlfn.IFNA(VLOOKUP(VeredaTr1291621[[#This Row],[BUS]],_xlfn._xlws.SORT(TrCeib1181520[[BUS]:[T2]],11,-1,FALSE),11,FALSE),0)</f>
        <v>0.25416666666666665</v>
      </c>
      <c r="AE78" s="23">
        <f>+VeredaTr1291621[[#This Row],[∑VeredaTr]]+VeredaTr1291621[[#This Row],[T2]]</f>
        <v>0.47499999999999987</v>
      </c>
    </row>
    <row r="79" spans="1:31" x14ac:dyDescent="0.35">
      <c r="B79" s="28">
        <v>14</v>
      </c>
      <c r="C79" s="23">
        <v>0.73333333333333328</v>
      </c>
      <c r="D79" s="23">
        <f t="shared" si="16"/>
        <v>5.5555555555555358E-3</v>
      </c>
      <c r="E79" s="23">
        <f>VLOOKUP(TrCeib1181520[[#This Row],[HORA]],'OFERTA (4)'!I:M,5,TRUE)</f>
        <v>4.8611111111111103E-3</v>
      </c>
      <c r="F79" s="23">
        <f t="shared" si="23"/>
        <v>4.2361111111111106E-2</v>
      </c>
      <c r="G79" s="23">
        <f t="shared" si="17"/>
        <v>0.77569444444444435</v>
      </c>
      <c r="H79" s="23">
        <f t="shared" si="18"/>
        <v>-6.9444444444444198E-4</v>
      </c>
      <c r="I79" s="23"/>
      <c r="J79" s="23">
        <f t="shared" si="15"/>
        <v>0.73263888888888884</v>
      </c>
      <c r="K79" s="30">
        <f>(G79-C79)+TrCeib1181520[[#This Row],[Tt_tex]]</f>
        <v>4.2361111111111072E-2</v>
      </c>
      <c r="L79" s="30">
        <f>SUMIF(B$4:$B79,TrCeib1181520[[#This Row],[BUS]],$K$4:K79)</f>
        <v>0.16944444444444434</v>
      </c>
      <c r="M79" s="23">
        <f>_xlfn.IFNA(VLOOKUP(TrCeib1181520[[#This Row],[BUS]],_xlfn._xlws.SORT(VeredaTr1291621[[BUS]:[T2]],11,-1,FALSE),11,FALSE),0)</f>
        <v>0.18402777777777768</v>
      </c>
      <c r="N79" s="23">
        <f>+TrCeib1181520[[#This Row],[∑TrCeib]]+TrCeib1181520[[#This Row],[T2]]</f>
        <v>0.35347222222222202</v>
      </c>
      <c r="P79" s="40"/>
      <c r="S79" s="28">
        <v>17</v>
      </c>
      <c r="T79" s="23">
        <v>0.7354166666666665</v>
      </c>
      <c r="U79" s="23">
        <f t="shared" si="13"/>
        <v>5.5555555555554248E-3</v>
      </c>
      <c r="V79" s="23">
        <f>VLOOKUP(VeredaTr1291621[[#This Row],[HORA]],'OFERTA (4)'!B:F,5,TRUE)</f>
        <v>4.8611111111111112E-3</v>
      </c>
      <c r="W79" s="23">
        <f t="shared" si="19"/>
        <v>3.6805555555555557E-2</v>
      </c>
      <c r="X79" s="23">
        <f t="shared" si="20"/>
        <v>0.77222222222222203</v>
      </c>
      <c r="Y79" s="23">
        <f t="shared" si="14"/>
        <v>-6.9444444444433095E-4</v>
      </c>
      <c r="Z79" s="23"/>
      <c r="AA79" s="23">
        <f t="shared" si="21"/>
        <v>0.73472222222222217</v>
      </c>
      <c r="AB79" s="30">
        <f t="shared" si="22"/>
        <v>3.6805555555555536E-2</v>
      </c>
      <c r="AC79" s="30">
        <f>SUMIF($S$4:S79,S79,$AB$4:AB79)</f>
        <v>0.11041666666666661</v>
      </c>
      <c r="AD79" s="23">
        <f>_xlfn.IFNA(VLOOKUP(VeredaTr1291621[[#This Row],[BUS]],_xlfn._xlws.SORT(TrCeib1181520[[BUS]:[T2]],11,-1,FALSE),11,FALSE),0)</f>
        <v>0.1680555555555554</v>
      </c>
      <c r="AE79" s="23">
        <f>+VeredaTr1291621[[#This Row],[∑VeredaTr]]+VeredaTr1291621[[#This Row],[T2]]</f>
        <v>0.27847222222222201</v>
      </c>
    </row>
    <row r="80" spans="1:31" x14ac:dyDescent="0.35">
      <c r="B80" s="28">
        <v>18</v>
      </c>
      <c r="C80" s="23">
        <v>0.73888888888888882</v>
      </c>
      <c r="D80" s="23">
        <f t="shared" si="16"/>
        <v>5.5555555555555358E-3</v>
      </c>
      <c r="E80" s="23">
        <f>VLOOKUP(TrCeib1181520[[#This Row],[HORA]],'OFERTA (4)'!I:M,5,TRUE)</f>
        <v>4.8611111111111103E-3</v>
      </c>
      <c r="F80" s="23">
        <f t="shared" si="23"/>
        <v>4.2361111111111106E-2</v>
      </c>
      <c r="G80" s="23">
        <f t="shared" si="17"/>
        <v>0.78124999999999989</v>
      </c>
      <c r="H80" s="23">
        <f t="shared" si="18"/>
        <v>-6.9444444444444198E-4</v>
      </c>
      <c r="I80" s="23"/>
      <c r="J80" s="23">
        <f t="shared" si="15"/>
        <v>0.73819444444444438</v>
      </c>
      <c r="K80" s="30">
        <f>(G80-C80)+TrCeib1181520[[#This Row],[Tt_tex]]</f>
        <v>4.2361111111111072E-2</v>
      </c>
      <c r="L80" s="30">
        <f>SUMIF(B$4:$B80,TrCeib1181520[[#This Row],[BUS]],$K$4:K80)</f>
        <v>0.12569444444444433</v>
      </c>
      <c r="M80" s="23">
        <f>_xlfn.IFNA(VLOOKUP(TrCeib1181520[[#This Row],[BUS]],_xlfn._xlws.SORT(VeredaTr1291621[[BUS]:[T2]],11,-1,FALSE),11,FALSE),0)</f>
        <v>0.14722222222222214</v>
      </c>
      <c r="N80" s="23">
        <f>+TrCeib1181520[[#This Row],[∑TrCeib]]+TrCeib1181520[[#This Row],[T2]]</f>
        <v>0.27291666666666647</v>
      </c>
      <c r="S80" s="28">
        <v>8</v>
      </c>
      <c r="T80" s="23">
        <v>0.74236111111111103</v>
      </c>
      <c r="U80" s="23">
        <f t="shared" si="13"/>
        <v>6.9444444444445308E-3</v>
      </c>
      <c r="V80" s="23">
        <f>VLOOKUP(VeredaTr1291621[[#This Row],[HORA]],'OFERTA (4)'!B:F,5,TRUE)</f>
        <v>4.8611111111111112E-3</v>
      </c>
      <c r="W80" s="23">
        <f t="shared" si="19"/>
        <v>3.6805555555555557E-2</v>
      </c>
      <c r="X80" s="23">
        <f t="shared" si="20"/>
        <v>0.77916666666666656</v>
      </c>
      <c r="Y80" s="23">
        <f t="shared" si="14"/>
        <v>-2.083333333333437E-3</v>
      </c>
      <c r="Z80" s="23"/>
      <c r="AA80" s="23">
        <f t="shared" si="21"/>
        <v>0.74027777777777759</v>
      </c>
      <c r="AB80" s="30">
        <f t="shared" si="22"/>
        <v>3.6805555555555536E-2</v>
      </c>
      <c r="AC80" s="30">
        <f>SUMIF($S$4:S80,S80,$AB$4:AB80)</f>
        <v>0.18402777777777768</v>
      </c>
      <c r="AD80" s="23">
        <f>_xlfn.IFNA(VLOOKUP(VeredaTr1291621[[#This Row],[BUS]],_xlfn._xlws.SORT(TrCeib1181520[[BUS]:[T2]],11,-1,FALSE),11,FALSE),0)</f>
        <v>0.21180555555555547</v>
      </c>
      <c r="AE80" s="23">
        <f>+VeredaTr1291621[[#This Row],[∑VeredaTr]]+VeredaTr1291621[[#This Row],[T2]]</f>
        <v>0.39583333333333315</v>
      </c>
    </row>
    <row r="81" spans="1:31" x14ac:dyDescent="0.35">
      <c r="B81" s="28">
        <v>3</v>
      </c>
      <c r="C81" s="23">
        <v>0.74444444444444446</v>
      </c>
      <c r="D81" s="23">
        <f t="shared" si="16"/>
        <v>5.5555555555556468E-3</v>
      </c>
      <c r="E81" s="23">
        <f>VLOOKUP(TrCeib1181520[[#This Row],[HORA]],'OFERTA (4)'!I:M,5,TRUE)</f>
        <v>4.8611111111111103E-3</v>
      </c>
      <c r="F81" s="23">
        <f t="shared" si="23"/>
        <v>4.2361111111111106E-2</v>
      </c>
      <c r="G81" s="23">
        <f t="shared" si="17"/>
        <v>0.78680555555555554</v>
      </c>
      <c r="H81" s="23">
        <f t="shared" si="18"/>
        <v>-6.94444444444553E-4</v>
      </c>
      <c r="I81" s="23"/>
      <c r="J81" s="23">
        <f t="shared" si="15"/>
        <v>0.74374999999999991</v>
      </c>
      <c r="K81" s="30">
        <f>(G81-C81)+TrCeib1181520[[#This Row],[Tt_tex]]</f>
        <v>4.2361111111111072E-2</v>
      </c>
      <c r="L81" s="30">
        <f>SUMIF(B$4:$B81,TrCeib1181520[[#This Row],[BUS]],$K$4:K81)</f>
        <v>0.2118055555555555</v>
      </c>
      <c r="M81" s="23">
        <f>_xlfn.IFNA(VLOOKUP(TrCeib1181520[[#This Row],[BUS]],_xlfn._xlws.SORT(VeredaTr1291621[[BUS]:[T2]],11,-1,FALSE),11,FALSE),0)</f>
        <v>0.18402777777777768</v>
      </c>
      <c r="N81" s="23">
        <f>+TrCeib1181520[[#This Row],[∑TrCeib]]+TrCeib1181520[[#This Row],[T2]]</f>
        <v>0.39583333333333315</v>
      </c>
      <c r="S81" s="28">
        <v>11</v>
      </c>
      <c r="T81" s="23">
        <v>0.74791666666666645</v>
      </c>
      <c r="U81" s="23">
        <f t="shared" si="13"/>
        <v>5.5555555555554248E-3</v>
      </c>
      <c r="V81" s="23">
        <f>VLOOKUP(VeredaTr1291621[[#This Row],[HORA]],'OFERTA (4)'!B:F,5,TRUE)</f>
        <v>4.8611111111111112E-3</v>
      </c>
      <c r="W81" s="23">
        <f t="shared" si="19"/>
        <v>3.6805555555555557E-2</v>
      </c>
      <c r="X81" s="23">
        <f t="shared" si="20"/>
        <v>0.78472222222222199</v>
      </c>
      <c r="Y81" s="23">
        <f t="shared" si="14"/>
        <v>-6.9444444444433095E-4</v>
      </c>
      <c r="Z81" s="23"/>
      <c r="AA81" s="23">
        <f>+T81+Y81</f>
        <v>0.74722222222222212</v>
      </c>
      <c r="AB81" s="30">
        <f>(X81-T81)</f>
        <v>3.6805555555555536E-2</v>
      </c>
      <c r="AC81" s="30">
        <f>SUMIF($S$4:S81,S81,$AB$4:AB81)</f>
        <v>0.22083333333333321</v>
      </c>
      <c r="AD81" s="23">
        <f>_xlfn.IFNA(VLOOKUP(VeredaTr1291621[[#This Row],[BUS]],_xlfn._xlws.SORT(TrCeib1181520[[BUS]:[T2]],11,-1,FALSE),11,FALSE),0)</f>
        <v>0.25416666666666654</v>
      </c>
      <c r="AE81" s="23">
        <f>+VeredaTr1291621[[#This Row],[∑VeredaTr]]+VeredaTr1291621[[#This Row],[T2]]</f>
        <v>0.47499999999999976</v>
      </c>
    </row>
    <row r="82" spans="1:31" x14ac:dyDescent="0.35">
      <c r="B82" s="28">
        <v>4</v>
      </c>
      <c r="C82" s="23">
        <v>0.74999999999999989</v>
      </c>
      <c r="D82" s="23">
        <f t="shared" si="16"/>
        <v>5.5555555555554248E-3</v>
      </c>
      <c r="E82" s="23">
        <f>VLOOKUP(TrCeib1181520[[#This Row],[HORA]],'OFERTA (4)'!I:M,5,TRUE)</f>
        <v>4.8611111111111103E-3</v>
      </c>
      <c r="F82" s="23">
        <f t="shared" si="23"/>
        <v>4.2361111111111106E-2</v>
      </c>
      <c r="G82" s="23">
        <f t="shared" si="17"/>
        <v>0.79236111111111096</v>
      </c>
      <c r="H82" s="23">
        <f t="shared" si="18"/>
        <v>-6.9444444444433095E-4</v>
      </c>
      <c r="I82" s="23"/>
      <c r="J82" s="23">
        <f t="shared" si="15"/>
        <v>0.74930555555555556</v>
      </c>
      <c r="K82" s="30">
        <f>(G82-C82)+TrCeib1181520[[#This Row],[Tt_tex]]</f>
        <v>4.2361111111111072E-2</v>
      </c>
      <c r="L82" s="30">
        <f>SUMIF(B$4:$B82,TrCeib1181520[[#This Row],[BUS]],$K$4:K82)</f>
        <v>0.29513888888888884</v>
      </c>
      <c r="M82" s="23">
        <f>_xlfn.IFNA(VLOOKUP(TrCeib1181520[[#This Row],[BUS]],_xlfn._xlws.SORT(VeredaTr1291621[[BUS]:[T2]],11,-1,FALSE),11,FALSE),0)</f>
        <v>0.22083333333333321</v>
      </c>
      <c r="N82" s="23">
        <f>+TrCeib1181520[[#This Row],[∑TrCeib]]+TrCeib1181520[[#This Row],[T2]]</f>
        <v>0.51597222222222205</v>
      </c>
      <c r="S82" s="28">
        <v>1</v>
      </c>
      <c r="T82" s="23">
        <v>0.75347222222222221</v>
      </c>
      <c r="U82" s="23">
        <f t="shared" si="13"/>
        <v>5.5555555555557579E-3</v>
      </c>
      <c r="V82" s="23">
        <f>VLOOKUP(VeredaTr1291621[[#This Row],[HORA]],'OFERTA (4)'!B:F,5,TRUE)</f>
        <v>4.8611111111111112E-3</v>
      </c>
      <c r="W82" s="23">
        <f t="shared" si="19"/>
        <v>3.6805555555555557E-2</v>
      </c>
      <c r="X82" s="23">
        <f t="shared" si="20"/>
        <v>0.79027777777777775</v>
      </c>
      <c r="Y82" s="23">
        <f t="shared" si="14"/>
        <v>-6.9444444444466402E-4</v>
      </c>
      <c r="Z82" s="23"/>
      <c r="AA82" s="23">
        <f>+T82+Y82</f>
        <v>0.75277777777777755</v>
      </c>
      <c r="AB82" s="30">
        <f>(X82-T82)</f>
        <v>3.6805555555555536E-2</v>
      </c>
      <c r="AC82" s="30">
        <f>SUMIF($S$4:S82,S82,$AB$4:AB82)</f>
        <v>0.18402777777777768</v>
      </c>
      <c r="AD82" s="23">
        <f>_xlfn.IFNA(VLOOKUP(VeredaTr1291621[[#This Row],[BUS]],_xlfn._xlws.SORT(TrCeib1181520[[BUS]:[T2]],11,-1,FALSE),11,FALSE),0)</f>
        <v>0.2541666666666666</v>
      </c>
      <c r="AE82" s="23">
        <f>+VeredaTr1291621[[#This Row],[∑VeredaTr]]+VeredaTr1291621[[#This Row],[T2]]</f>
        <v>0.43819444444444428</v>
      </c>
    </row>
    <row r="83" spans="1:31" x14ac:dyDescent="0.35">
      <c r="B83" s="28">
        <v>15</v>
      </c>
      <c r="C83" s="23">
        <v>0.75555555555555554</v>
      </c>
      <c r="D83" s="23">
        <f t="shared" si="16"/>
        <v>5.5555555555556468E-3</v>
      </c>
      <c r="E83" s="23">
        <f>VLOOKUP(TrCeib1181520[[#This Row],[HORA]],'OFERTA (4)'!I:M,5,TRUE)</f>
        <v>4.8611111111111103E-3</v>
      </c>
      <c r="F83" s="23">
        <f t="shared" si="23"/>
        <v>4.2361111111111106E-2</v>
      </c>
      <c r="G83" s="23">
        <f t="shared" si="17"/>
        <v>0.79791666666666661</v>
      </c>
      <c r="H83" s="23">
        <f t="shared" si="18"/>
        <v>-6.94444444444553E-4</v>
      </c>
      <c r="I83" s="23"/>
      <c r="J83" s="23">
        <f t="shared" si="15"/>
        <v>0.75486111111111098</v>
      </c>
      <c r="K83" s="30">
        <f>(G83-C83)+TrCeib1181520[[#This Row],[Tt_tex]]</f>
        <v>4.2361111111111072E-2</v>
      </c>
      <c r="L83" s="30">
        <f>SUMIF(B$4:$B83,TrCeib1181520[[#This Row],[BUS]],$K$4:K83)</f>
        <v>0.16944444444444434</v>
      </c>
      <c r="M83" s="23">
        <f>_xlfn.IFNA(VLOOKUP(TrCeib1181520[[#This Row],[BUS]],_xlfn._xlws.SORT(VeredaTr1291621[[BUS]:[T2]],11,-1,FALSE),11,FALSE),0)</f>
        <v>0.18402777777777768</v>
      </c>
      <c r="N83" s="23">
        <f>+TrCeib1181520[[#This Row],[∑TrCeib]]+TrCeib1181520[[#This Row],[T2]]</f>
        <v>0.35347222222222202</v>
      </c>
      <c r="S83" s="28">
        <v>13</v>
      </c>
      <c r="T83" s="23">
        <v>0.75902777777777752</v>
      </c>
      <c r="U83" s="23">
        <f t="shared" si="13"/>
        <v>5.5555555555553138E-3</v>
      </c>
      <c r="V83" s="23">
        <f>VLOOKUP(VeredaTr1291621[[#This Row],[HORA]],'OFERTA (4)'!B:F,5,TRUE)</f>
        <v>4.8611111111111112E-3</v>
      </c>
      <c r="W83" s="23">
        <f t="shared" si="19"/>
        <v>3.6805555555555557E-2</v>
      </c>
      <c r="X83" s="23">
        <f t="shared" si="20"/>
        <v>0.79583333333333306</v>
      </c>
      <c r="Y83" s="23">
        <f t="shared" si="14"/>
        <v>-6.9444444444421993E-4</v>
      </c>
      <c r="Z83" s="23"/>
      <c r="AA83" s="23">
        <f t="shared" si="21"/>
        <v>0.7583333333333333</v>
      </c>
      <c r="AB83" s="30">
        <f t="shared" si="22"/>
        <v>3.6805555555555536E-2</v>
      </c>
      <c r="AC83" s="30">
        <f>SUMIF($S$4:S83,S83,$AB$4:AB83)</f>
        <v>0.22083333333333321</v>
      </c>
      <c r="AD83" s="23">
        <f>_xlfn.IFNA(VLOOKUP(VeredaTr1291621[[#This Row],[BUS]],_xlfn._xlws.SORT(TrCeib1181520[[BUS]:[T2]],11,-1,FALSE),11,FALSE),0)</f>
        <v>0.25416666666666654</v>
      </c>
      <c r="AE83" s="23">
        <f>+VeredaTr1291621[[#This Row],[∑VeredaTr]]+VeredaTr1291621[[#This Row],[T2]]</f>
        <v>0.47499999999999976</v>
      </c>
    </row>
    <row r="84" spans="1:31" x14ac:dyDescent="0.35">
      <c r="A84" t="s">
        <v>70</v>
      </c>
      <c r="B84" s="28">
        <v>16</v>
      </c>
      <c r="C84" s="23">
        <v>0.76111111111111096</v>
      </c>
      <c r="D84" s="23">
        <f t="shared" si="16"/>
        <v>5.5555555555554248E-3</v>
      </c>
      <c r="E84" s="23">
        <f>VLOOKUP(TrCeib1181520[[#This Row],[HORA]],'OFERTA (4)'!I:M,5,TRUE)</f>
        <v>4.8611111111111103E-3</v>
      </c>
      <c r="F84" s="23">
        <f t="shared" si="23"/>
        <v>4.2361111111111106E-2</v>
      </c>
      <c r="G84" s="23">
        <f t="shared" si="17"/>
        <v>0.80347222222222203</v>
      </c>
      <c r="H84" s="23">
        <f t="shared" si="18"/>
        <v>-6.9444444444433095E-4</v>
      </c>
      <c r="I84" s="23"/>
      <c r="J84" s="23">
        <f t="shared" si="15"/>
        <v>0.76041666666666663</v>
      </c>
      <c r="K84" s="30">
        <f>(G84-C84)+TrCeib1181520[[#This Row],[Tt_tex]]</f>
        <v>4.2361111111111072E-2</v>
      </c>
      <c r="L84" s="30">
        <f>SUMIF(B$4:$B84,TrCeib1181520[[#This Row],[BUS]],$K$4:K84)</f>
        <v>0.1680555555555554</v>
      </c>
      <c r="M84" s="23">
        <f>_xlfn.IFNA(VLOOKUP(TrCeib1181520[[#This Row],[BUS]],_xlfn._xlws.SORT(VeredaTr1291621[[BUS]:[T2]],11,-1,FALSE),11,FALSE),0)</f>
        <v>0.11041666666666661</v>
      </c>
      <c r="N84" s="23">
        <f>+TrCeib1181520[[#This Row],[∑TrCeib]]+TrCeib1181520[[#This Row],[T2]]</f>
        <v>0.27847222222222201</v>
      </c>
      <c r="P84" s="40"/>
      <c r="S84" s="28">
        <v>2</v>
      </c>
      <c r="T84" s="23">
        <v>0.76458333333333328</v>
      </c>
      <c r="U84" s="23">
        <f t="shared" si="13"/>
        <v>5.5555555555557579E-3</v>
      </c>
      <c r="V84" s="23">
        <f>VLOOKUP(VeredaTr1291621[[#This Row],[HORA]],'OFERTA (4)'!B:F,5,TRUE)</f>
        <v>4.8611111111111112E-3</v>
      </c>
      <c r="W84" s="23">
        <f t="shared" si="19"/>
        <v>3.6805555555555557E-2</v>
      </c>
      <c r="X84" s="23">
        <f t="shared" si="20"/>
        <v>0.80138888888888882</v>
      </c>
      <c r="Y84" s="23">
        <f t="shared" si="14"/>
        <v>-6.9444444444466402E-4</v>
      </c>
      <c r="Z84" s="23"/>
      <c r="AA84" s="23">
        <f>+T84+Y84</f>
        <v>0.76388888888888862</v>
      </c>
      <c r="AB84" s="30">
        <f>(X84-T84)</f>
        <v>3.6805555555555536E-2</v>
      </c>
      <c r="AC84" s="30">
        <f>SUMIF($S$4:S84,S84,$AB$4:AB84)</f>
        <v>0.18402777777777768</v>
      </c>
      <c r="AD84" s="23">
        <f>_xlfn.IFNA(VLOOKUP(VeredaTr1291621[[#This Row],[BUS]],_xlfn._xlws.SORT(TrCeib1181520[[BUS]:[T2]],11,-1,FALSE),11,FALSE),0)</f>
        <v>0.25416666666666654</v>
      </c>
      <c r="AE84" s="23">
        <f>+VeredaTr1291621[[#This Row],[∑VeredaTr]]+VeredaTr1291621[[#This Row],[T2]]</f>
        <v>0.43819444444444422</v>
      </c>
    </row>
    <row r="85" spans="1:31" x14ac:dyDescent="0.35">
      <c r="B85" s="28">
        <v>5</v>
      </c>
      <c r="C85" s="23">
        <v>0.76666666666666661</v>
      </c>
      <c r="D85" s="23">
        <f t="shared" si="16"/>
        <v>5.5555555555556468E-3</v>
      </c>
      <c r="E85" s="23">
        <f>VLOOKUP(TrCeib1181520[[#This Row],[HORA]],'OFERTA (4)'!I:M,5,TRUE)</f>
        <v>4.8611111111111103E-3</v>
      </c>
      <c r="F85" s="23">
        <f t="shared" si="23"/>
        <v>4.2361111111111106E-2</v>
      </c>
      <c r="G85" s="23">
        <f t="shared" si="17"/>
        <v>0.80902777777777768</v>
      </c>
      <c r="H85" s="23">
        <f t="shared" si="18"/>
        <v>-6.94444444444553E-4</v>
      </c>
      <c r="I85" s="23"/>
      <c r="J85" s="23">
        <f t="shared" si="15"/>
        <v>0.76597222222222205</v>
      </c>
      <c r="K85" s="30">
        <f>(G85-C85)+TrCeib1181520[[#This Row],[Tt_tex]]</f>
        <v>4.2361111111111072E-2</v>
      </c>
      <c r="L85" s="30">
        <f>SUMIF(B$4:$B85,TrCeib1181520[[#This Row],[BUS]],$K$4:K85)</f>
        <v>0.25416666666666665</v>
      </c>
      <c r="M85" s="23">
        <f>_xlfn.IFNA(VLOOKUP(TrCeib1181520[[#This Row],[BUS]],_xlfn._xlws.SORT(VeredaTr1291621[[BUS]:[T2]],11,-1,FALSE),11,FALSE),0)</f>
        <v>0.25763888888888875</v>
      </c>
      <c r="N85" s="23">
        <f>+TrCeib1181520[[#This Row],[∑TrCeib]]+TrCeib1181520[[#This Row],[T2]]</f>
        <v>0.5118055555555554</v>
      </c>
      <c r="P85" s="40"/>
      <c r="S85" s="28">
        <v>7</v>
      </c>
      <c r="T85" s="23">
        <v>0.77013888888888882</v>
      </c>
      <c r="U85" s="23">
        <f t="shared" si="13"/>
        <v>5.5555555555555358E-3</v>
      </c>
      <c r="V85" s="23">
        <f>VLOOKUP(VeredaTr1291621[[#This Row],[HORA]],'OFERTA (4)'!B:F,5,TRUE)</f>
        <v>4.8611111111111112E-3</v>
      </c>
      <c r="W85" s="23">
        <f t="shared" si="19"/>
        <v>3.6805555555555557E-2</v>
      </c>
      <c r="X85" s="23">
        <f t="shared" si="20"/>
        <v>0.80694444444444435</v>
      </c>
      <c r="Y85" s="23">
        <f t="shared" si="14"/>
        <v>-6.9444444444444198E-4</v>
      </c>
      <c r="Z85" s="23"/>
      <c r="AA85" s="23">
        <f t="shared" si="21"/>
        <v>0.76944444444444438</v>
      </c>
      <c r="AB85" s="30">
        <f t="shared" si="22"/>
        <v>3.6805555555555536E-2</v>
      </c>
      <c r="AC85" s="30">
        <f>SUMIF($S$4:S85,S85,$AB$4:AB85)</f>
        <v>0.22083333333333324</v>
      </c>
      <c r="AD85" s="23">
        <f>_xlfn.IFNA(VLOOKUP(VeredaTr1291621[[#This Row],[BUS]],_xlfn._xlws.SORT(TrCeib1181520[[BUS]:[T2]],11,-1,FALSE),11,FALSE),0)</f>
        <v>0.25416666666666654</v>
      </c>
      <c r="AE85" s="23">
        <f>+VeredaTr1291621[[#This Row],[∑VeredaTr]]+VeredaTr1291621[[#This Row],[T2]]</f>
        <v>0.47499999999999976</v>
      </c>
    </row>
    <row r="86" spans="1:31" x14ac:dyDescent="0.35">
      <c r="A86" t="s">
        <v>70</v>
      </c>
      <c r="B86" s="28">
        <v>17</v>
      </c>
      <c r="C86" s="23">
        <v>0.77222222222222203</v>
      </c>
      <c r="D86" s="23">
        <f t="shared" si="16"/>
        <v>5.5555555555554248E-3</v>
      </c>
      <c r="E86" s="23">
        <f>VLOOKUP(TrCeib1181520[[#This Row],[HORA]],'OFERTA (4)'!I:M,5,TRUE)</f>
        <v>4.8611111111111103E-3</v>
      </c>
      <c r="F86" s="23">
        <f t="shared" si="23"/>
        <v>4.2361111111111106E-2</v>
      </c>
      <c r="G86" s="23">
        <f t="shared" si="17"/>
        <v>0.8145833333333331</v>
      </c>
      <c r="H86" s="23">
        <f t="shared" si="18"/>
        <v>-6.9444444444433095E-4</v>
      </c>
      <c r="I86" s="23"/>
      <c r="J86" s="23">
        <f t="shared" si="15"/>
        <v>0.7715277777777777</v>
      </c>
      <c r="K86" s="30">
        <f>(G86-C86)+TrCeib1181520[[#This Row],[Tt_tex]]</f>
        <v>4.2361111111111072E-2</v>
      </c>
      <c r="L86" s="30">
        <f>SUMIF(B$4:$B86,TrCeib1181520[[#This Row],[BUS]],$K$4:K86)</f>
        <v>0.1680555555555554</v>
      </c>
      <c r="M86" s="23">
        <f>_xlfn.IFNA(VLOOKUP(TrCeib1181520[[#This Row],[BUS]],_xlfn._xlws.SORT(VeredaTr1291621[[BUS]:[T2]],11,-1,FALSE),11,FALSE),0)</f>
        <v>0.11041666666666661</v>
      </c>
      <c r="N86" s="23">
        <f>+TrCeib1181520[[#This Row],[∑TrCeib]]+TrCeib1181520[[#This Row],[T2]]</f>
        <v>0.27847222222222201</v>
      </c>
      <c r="P86" s="40"/>
      <c r="S86" s="28">
        <v>14</v>
      </c>
      <c r="T86" s="23">
        <v>0.77569444444444435</v>
      </c>
      <c r="U86" s="23">
        <f t="shared" si="13"/>
        <v>5.5555555555555358E-3</v>
      </c>
      <c r="V86" s="23">
        <f>VLOOKUP(VeredaTr1291621[[#This Row],[HORA]],'OFERTA (4)'!B:F,5,TRUE)</f>
        <v>4.8611111111111112E-3</v>
      </c>
      <c r="W86" s="23">
        <f t="shared" si="19"/>
        <v>3.6805555555555557E-2</v>
      </c>
      <c r="X86" s="23">
        <f t="shared" si="20"/>
        <v>0.81249999999999989</v>
      </c>
      <c r="Y86" s="23">
        <f t="shared" si="14"/>
        <v>-6.9444444444444198E-4</v>
      </c>
      <c r="Z86" s="23"/>
      <c r="AA86" s="23">
        <f t="shared" si="21"/>
        <v>0.77499999999999991</v>
      </c>
      <c r="AB86" s="30">
        <f t="shared" si="22"/>
        <v>3.6805555555555536E-2</v>
      </c>
      <c r="AC86" s="30">
        <f>SUMIF($S$4:S86,S86,$AB$4:AB86)</f>
        <v>0.18402777777777768</v>
      </c>
      <c r="AD86" s="23">
        <f>_xlfn.IFNA(VLOOKUP(VeredaTr1291621[[#This Row],[BUS]],_xlfn._xlws.SORT(TrCeib1181520[[BUS]:[T2]],11,-1,FALSE),11,FALSE),0)</f>
        <v>0.16944444444444434</v>
      </c>
      <c r="AE86" s="23">
        <f>+VeredaTr1291621[[#This Row],[∑VeredaTr]]+VeredaTr1291621[[#This Row],[T2]]</f>
        <v>0.35347222222222202</v>
      </c>
    </row>
    <row r="87" spans="1:31" x14ac:dyDescent="0.35">
      <c r="B87" s="28">
        <v>8</v>
      </c>
      <c r="C87" s="23">
        <v>0.77916666666666656</v>
      </c>
      <c r="D87" s="23">
        <f t="shared" si="16"/>
        <v>6.9444444444445308E-3</v>
      </c>
      <c r="E87" s="23">
        <f>VLOOKUP(TrCeib1181520[[#This Row],[HORA]],'OFERTA (4)'!I:M,5,TRUE)</f>
        <v>4.8611111111111103E-3</v>
      </c>
      <c r="F87" s="23">
        <f t="shared" si="23"/>
        <v>4.2361111111111106E-2</v>
      </c>
      <c r="G87" s="23">
        <f t="shared" si="17"/>
        <v>0.82152777777777763</v>
      </c>
      <c r="H87" s="23">
        <f t="shared" si="18"/>
        <v>-2.083333333333437E-3</v>
      </c>
      <c r="I87" s="23"/>
      <c r="J87" s="23">
        <f t="shared" si="15"/>
        <v>0.77708333333333313</v>
      </c>
      <c r="K87" s="30">
        <f>(G87-C87)+TrCeib1181520[[#This Row],[Tt_tex]]</f>
        <v>4.2361111111111072E-2</v>
      </c>
      <c r="L87" s="30">
        <f>SUMIF(B$4:$B87,TrCeib1181520[[#This Row],[BUS]],$K$4:K87)</f>
        <v>0.21180555555555547</v>
      </c>
      <c r="M87" s="23">
        <f>_xlfn.IFNA(VLOOKUP(TrCeib1181520[[#This Row],[BUS]],_xlfn._xlws.SORT(VeredaTr1291621[[BUS]:[T2]],11,-1,FALSE),11,FALSE),0)</f>
        <v>0.22083333333333321</v>
      </c>
      <c r="N87" s="23">
        <f>+TrCeib1181520[[#This Row],[∑TrCeib]]+TrCeib1181520[[#This Row],[T2]]</f>
        <v>0.43263888888888868</v>
      </c>
      <c r="P87" s="40"/>
      <c r="S87" s="28">
        <v>18</v>
      </c>
      <c r="T87" s="23">
        <v>0.78124999999999989</v>
      </c>
      <c r="U87" s="23">
        <f t="shared" si="13"/>
        <v>5.5555555555555358E-3</v>
      </c>
      <c r="V87" s="23">
        <f>VLOOKUP(VeredaTr1291621[[#This Row],[HORA]],'OFERTA (4)'!B:F,5,TRUE)</f>
        <v>4.8611111111111112E-3</v>
      </c>
      <c r="W87" s="23">
        <f t="shared" si="19"/>
        <v>3.6805555555555557E-2</v>
      </c>
      <c r="X87" s="23">
        <f t="shared" si="20"/>
        <v>0.81805555555555542</v>
      </c>
      <c r="Y87" s="23">
        <f t="shared" si="14"/>
        <v>-6.9444444444444198E-4</v>
      </c>
      <c r="Z87" s="23"/>
      <c r="AA87" s="23">
        <f t="shared" si="21"/>
        <v>0.78055555555555545</v>
      </c>
      <c r="AB87" s="30">
        <f t="shared" si="22"/>
        <v>3.6805555555555536E-2</v>
      </c>
      <c r="AC87" s="30">
        <f>SUMIF($S$4:S87,S87,$AB$4:AB87)</f>
        <v>0.14722222222222214</v>
      </c>
      <c r="AD87" s="23">
        <f>_xlfn.IFNA(VLOOKUP(VeredaTr1291621[[#This Row],[BUS]],_xlfn._xlws.SORT(TrCeib1181520[[BUS]:[T2]],11,-1,FALSE),11,FALSE),0)</f>
        <v>0.12569444444444433</v>
      </c>
      <c r="AE87" s="23">
        <f>+VeredaTr1291621[[#This Row],[∑VeredaTr]]+VeredaTr1291621[[#This Row],[T2]]</f>
        <v>0.27291666666666647</v>
      </c>
    </row>
    <row r="88" spans="1:31" x14ac:dyDescent="0.35">
      <c r="A88" t="s">
        <v>70</v>
      </c>
      <c r="B88" s="28">
        <v>11</v>
      </c>
      <c r="C88" s="23">
        <v>0.78472222222222199</v>
      </c>
      <c r="D88" s="23">
        <f t="shared" si="16"/>
        <v>5.5555555555554248E-3</v>
      </c>
      <c r="E88" s="23">
        <f>VLOOKUP(TrCeib1181520[[#This Row],[HORA]],'OFERTA (4)'!I:M,5,TRUE)</f>
        <v>4.8611111111111103E-3</v>
      </c>
      <c r="F88" s="23">
        <f t="shared" si="23"/>
        <v>4.2361111111111106E-2</v>
      </c>
      <c r="G88" s="23">
        <f t="shared" si="17"/>
        <v>0.82708333333333306</v>
      </c>
      <c r="H88" s="23">
        <f t="shared" si="18"/>
        <v>-6.9444444444433095E-4</v>
      </c>
      <c r="I88" s="23"/>
      <c r="J88" s="23">
        <f t="shared" si="15"/>
        <v>0.78402777777777766</v>
      </c>
      <c r="K88" s="30">
        <f>(G88-C88)+TrCeib1181520[[#This Row],[Tt_tex]]</f>
        <v>4.2361111111111072E-2</v>
      </c>
      <c r="L88" s="30">
        <f>SUMIF(B$4:$B88,TrCeib1181520[[#This Row],[BUS]],$K$4:K88)</f>
        <v>0.25416666666666654</v>
      </c>
      <c r="M88" s="23">
        <f>_xlfn.IFNA(VLOOKUP(TrCeib1181520[[#This Row],[BUS]],_xlfn._xlws.SORT(VeredaTr1291621[[BUS]:[T2]],11,-1,FALSE),11,FALSE),0)</f>
        <v>0.22083333333333321</v>
      </c>
      <c r="N88" s="23">
        <f>+TrCeib1181520[[#This Row],[∑TrCeib]]+TrCeib1181520[[#This Row],[T2]]</f>
        <v>0.47499999999999976</v>
      </c>
      <c r="P88" s="40"/>
      <c r="S88" s="28">
        <v>3</v>
      </c>
      <c r="T88" s="23">
        <v>0.78680555555555554</v>
      </c>
      <c r="U88" s="23">
        <f t="shared" si="13"/>
        <v>5.5555555555556468E-3</v>
      </c>
      <c r="V88" s="23">
        <f>VLOOKUP(VeredaTr1291621[[#This Row],[HORA]],'OFERTA (4)'!B:F,5,TRUE)</f>
        <v>4.8611111111111112E-3</v>
      </c>
      <c r="W88" s="23">
        <f t="shared" si="19"/>
        <v>3.6805555555555557E-2</v>
      </c>
      <c r="X88" s="23">
        <f t="shared" si="20"/>
        <v>0.82361111111111107</v>
      </c>
      <c r="Y88" s="23">
        <f t="shared" si="14"/>
        <v>-6.94444444444553E-4</v>
      </c>
      <c r="Z88" s="23"/>
      <c r="AA88" s="23">
        <f t="shared" si="21"/>
        <v>0.78611111111111098</v>
      </c>
      <c r="AB88" s="30">
        <f t="shared" si="22"/>
        <v>3.6805555555555536E-2</v>
      </c>
      <c r="AC88" s="30">
        <f>SUMIF($S$4:S88,S88,$AB$4:AB88)</f>
        <v>0.18402777777777768</v>
      </c>
      <c r="AD88" s="23">
        <f>_xlfn.IFNA(VLOOKUP(VeredaTr1291621[[#This Row],[BUS]],_xlfn._xlws.SORT(TrCeib1181520[[BUS]:[T2]],11,-1,FALSE),11,FALSE),0)</f>
        <v>0.2118055555555555</v>
      </c>
      <c r="AE88" s="23">
        <f>+VeredaTr1291621[[#This Row],[∑VeredaTr]]+VeredaTr1291621[[#This Row],[T2]]</f>
        <v>0.39583333333333315</v>
      </c>
    </row>
    <row r="89" spans="1:31" x14ac:dyDescent="0.35">
      <c r="B89" s="28">
        <v>1</v>
      </c>
      <c r="C89" s="23">
        <v>0.79027777777777775</v>
      </c>
      <c r="D89" s="23">
        <f t="shared" si="16"/>
        <v>5.5555555555557579E-3</v>
      </c>
      <c r="E89" s="23">
        <f>VLOOKUP(TrCeib1181520[[#This Row],[HORA]],'OFERTA (4)'!I:M,5,TRUE)</f>
        <v>4.8611111111111103E-3</v>
      </c>
      <c r="F89" s="23">
        <f t="shared" si="23"/>
        <v>4.2361111111111106E-2</v>
      </c>
      <c r="G89" s="23">
        <f t="shared" si="17"/>
        <v>0.83263888888888882</v>
      </c>
      <c r="H89" s="23">
        <f t="shared" si="18"/>
        <v>-6.9444444444466402E-4</v>
      </c>
      <c r="I89" s="23"/>
      <c r="J89" s="23">
        <f t="shared" si="15"/>
        <v>0.78958333333333308</v>
      </c>
      <c r="K89" s="30">
        <f>(G89-C89)+TrCeib1181520[[#This Row],[Tt_tex]]</f>
        <v>4.2361111111111072E-2</v>
      </c>
      <c r="L89" s="30">
        <f>SUMIF(B$4:$B89,TrCeib1181520[[#This Row],[BUS]],$K$4:K89)</f>
        <v>0.2541666666666666</v>
      </c>
      <c r="M89" s="23">
        <f>_xlfn.IFNA(VLOOKUP(TrCeib1181520[[#This Row],[BUS]],_xlfn._xlws.SORT(VeredaTr1291621[[BUS]:[T2]],11,-1,FALSE),11,FALSE),0)</f>
        <v>0.22083333333333321</v>
      </c>
      <c r="N89" s="23">
        <f>+TrCeib1181520[[#This Row],[∑TrCeib]]+TrCeib1181520[[#This Row],[T2]]</f>
        <v>0.47499999999999981</v>
      </c>
      <c r="P89" s="40"/>
      <c r="S89" s="28">
        <v>4</v>
      </c>
      <c r="T89" s="23">
        <v>0.79236111111111096</v>
      </c>
      <c r="U89" s="23">
        <f t="shared" si="13"/>
        <v>5.5555555555554248E-3</v>
      </c>
      <c r="V89" s="23">
        <f>VLOOKUP(VeredaTr1291621[[#This Row],[HORA]],'OFERTA (4)'!B:F,5,TRUE)</f>
        <v>9.7222222222222224E-3</v>
      </c>
      <c r="W89" s="23">
        <f t="shared" si="19"/>
        <v>3.6805555555555557E-2</v>
      </c>
      <c r="X89" s="23">
        <f t="shared" si="20"/>
        <v>0.8291666666666665</v>
      </c>
      <c r="Y89" s="23">
        <f t="shared" si="14"/>
        <v>4.1666666666667629E-3</v>
      </c>
      <c r="Z89" s="23"/>
      <c r="AA89" s="23">
        <f>+T89+Y89</f>
        <v>0.79652777777777772</v>
      </c>
      <c r="AB89" s="30">
        <f>(X89-T89)</f>
        <v>3.6805555555555536E-2</v>
      </c>
      <c r="AC89" s="30">
        <f>SUMIF($S$4:S89,S89,$AB$4:AB89)</f>
        <v>0.22083333333333321</v>
      </c>
      <c r="AD89" s="23">
        <f>_xlfn.IFNA(VLOOKUP(VeredaTr1291621[[#This Row],[BUS]],_xlfn._xlws.SORT(TrCeib1181520[[BUS]:[T2]],11,-1,FALSE),11,FALSE),0)</f>
        <v>0.29513888888888884</v>
      </c>
      <c r="AE89" s="23">
        <f>+VeredaTr1291621[[#This Row],[∑VeredaTr]]+VeredaTr1291621[[#This Row],[T2]]</f>
        <v>0.51597222222222205</v>
      </c>
    </row>
    <row r="90" spans="1:31" x14ac:dyDescent="0.35">
      <c r="A90" t="s">
        <v>70</v>
      </c>
      <c r="B90" s="28">
        <v>13</v>
      </c>
      <c r="C90" s="23">
        <v>0.79583333333333306</v>
      </c>
      <c r="D90" s="23">
        <f t="shared" si="16"/>
        <v>5.5555555555553138E-3</v>
      </c>
      <c r="E90" s="23">
        <f>VLOOKUP(TrCeib1181520[[#This Row],[HORA]],'OFERTA (4)'!I:M,5,TRUE)</f>
        <v>9.7222222222222224E-3</v>
      </c>
      <c r="F90" s="23">
        <f t="shared" si="23"/>
        <v>4.2361111111111106E-2</v>
      </c>
      <c r="G90" s="23">
        <f t="shared" si="17"/>
        <v>0.83819444444444413</v>
      </c>
      <c r="H90" s="23">
        <f t="shared" si="18"/>
        <v>4.1666666666668739E-3</v>
      </c>
      <c r="I90" s="23"/>
      <c r="J90" s="23">
        <f t="shared" si="15"/>
        <v>0.79999999999999993</v>
      </c>
      <c r="K90" s="30">
        <f>(G90-C90)+TrCeib1181520[[#This Row],[Tt_tex]]</f>
        <v>4.2361111111111072E-2</v>
      </c>
      <c r="L90" s="30">
        <f>SUMIF(B$4:$B90,TrCeib1181520[[#This Row],[BUS]],$K$4:K90)</f>
        <v>0.25416666666666654</v>
      </c>
      <c r="M90" s="23">
        <f>_xlfn.IFNA(VLOOKUP(TrCeib1181520[[#This Row],[BUS]],_xlfn._xlws.SORT(VeredaTr1291621[[BUS]:[T2]],11,-1,FALSE),11,FALSE),0)</f>
        <v>0.22083333333333321</v>
      </c>
      <c r="N90" s="23">
        <f>+TrCeib1181520[[#This Row],[∑TrCeib]]+TrCeib1181520[[#This Row],[T2]]</f>
        <v>0.47499999999999976</v>
      </c>
      <c r="S90" s="28">
        <v>15</v>
      </c>
      <c r="T90" s="23">
        <v>0.79791666666666661</v>
      </c>
      <c r="U90" s="23">
        <f t="shared" si="13"/>
        <v>5.5555555555556468E-3</v>
      </c>
      <c r="V90" s="23">
        <f>VLOOKUP(VeredaTr1291621[[#This Row],[HORA]],'OFERTA (4)'!B:F,5,TRUE)</f>
        <v>9.7222222222222224E-3</v>
      </c>
      <c r="W90" s="23">
        <f t="shared" si="19"/>
        <v>3.6805555555555557E-2</v>
      </c>
      <c r="X90" s="23">
        <f t="shared" si="20"/>
        <v>0.83472222222222214</v>
      </c>
      <c r="Y90" s="23">
        <f t="shared" si="14"/>
        <v>4.1666666666665408E-3</v>
      </c>
      <c r="Z90" s="23"/>
      <c r="AA90" s="23">
        <f>+T90+Y90</f>
        <v>0.80208333333333315</v>
      </c>
      <c r="AB90" s="30">
        <f>(X90-T90)</f>
        <v>3.6805555555555536E-2</v>
      </c>
      <c r="AC90" s="30">
        <f>SUMIF($S$4:S90,S90,$AB$4:AB90)</f>
        <v>0.18402777777777768</v>
      </c>
      <c r="AD90" s="23">
        <f>_xlfn.IFNA(VLOOKUP(VeredaTr1291621[[#This Row],[BUS]],_xlfn._xlws.SORT(TrCeib1181520[[BUS]:[T2]],11,-1,FALSE),11,FALSE),0)</f>
        <v>0.16944444444444434</v>
      </c>
      <c r="AE90" s="23">
        <f>+VeredaTr1291621[[#This Row],[∑VeredaTr]]+VeredaTr1291621[[#This Row],[T2]]</f>
        <v>0.35347222222222202</v>
      </c>
    </row>
    <row r="91" spans="1:31" x14ac:dyDescent="0.35">
      <c r="B91" s="28">
        <v>2</v>
      </c>
      <c r="C91" s="23">
        <v>0.80138888888888882</v>
      </c>
      <c r="D91" s="23">
        <f t="shared" si="16"/>
        <v>5.5555555555557579E-3</v>
      </c>
      <c r="E91" s="23">
        <f>VLOOKUP(TrCeib1181520[[#This Row],[HORA]],'OFERTA (4)'!I:M,5,TRUE)</f>
        <v>9.7222222222222224E-3</v>
      </c>
      <c r="F91" s="23">
        <f t="shared" si="23"/>
        <v>4.2361111111111106E-2</v>
      </c>
      <c r="G91" s="23">
        <f t="shared" si="17"/>
        <v>0.84374999999999989</v>
      </c>
      <c r="H91" s="23">
        <f t="shared" si="18"/>
        <v>4.1666666666664298E-3</v>
      </c>
      <c r="I91" s="23"/>
      <c r="J91" s="23">
        <f t="shared" si="15"/>
        <v>0.80555555555555525</v>
      </c>
      <c r="K91" s="30">
        <f>(G91-C91)+TrCeib1181520[[#This Row],[Tt_tex]]</f>
        <v>4.2361111111111072E-2</v>
      </c>
      <c r="L91" s="30">
        <f>SUMIF(B$4:$B91,TrCeib1181520[[#This Row],[BUS]],$K$4:K91)</f>
        <v>0.25416666666666654</v>
      </c>
      <c r="M91" s="23">
        <f>_xlfn.IFNA(VLOOKUP(TrCeib1181520[[#This Row],[BUS]],_xlfn._xlws.SORT(VeredaTr1291621[[BUS]:[T2]],11,-1,FALSE),11,FALSE),0)</f>
        <v>0.22083333333333321</v>
      </c>
      <c r="N91" s="23">
        <f>+TrCeib1181520[[#This Row],[∑TrCeib]]+TrCeib1181520[[#This Row],[T2]]</f>
        <v>0.47499999999999976</v>
      </c>
      <c r="P91" s="40"/>
      <c r="S91" s="28">
        <v>5</v>
      </c>
      <c r="T91" s="23">
        <v>0.80902777777777768</v>
      </c>
      <c r="U91" s="23">
        <f t="shared" si="13"/>
        <v>1.1111111111111072E-2</v>
      </c>
      <c r="V91" s="23">
        <f>VLOOKUP(VeredaTr1291621[[#This Row],[HORA]],'OFERTA (4)'!B:F,5,TRUE)</f>
        <v>9.7222222222222224E-3</v>
      </c>
      <c r="W91" s="23">
        <f t="shared" si="19"/>
        <v>3.6805555555555557E-2</v>
      </c>
      <c r="X91" s="23">
        <f t="shared" si="20"/>
        <v>0.84583333333333321</v>
      </c>
      <c r="Y91" s="23">
        <f t="shared" si="14"/>
        <v>-1.388888888888884E-3</v>
      </c>
      <c r="Z91" s="23"/>
      <c r="AA91" s="23">
        <f t="shared" si="21"/>
        <v>0.8076388888888888</v>
      </c>
      <c r="AB91" s="30">
        <f t="shared" si="22"/>
        <v>3.6805555555555536E-2</v>
      </c>
      <c r="AC91" s="30">
        <f>SUMIF($S$4:S91,S91,$AB$4:AB91)</f>
        <v>0.25763888888888875</v>
      </c>
      <c r="AD91" s="23">
        <f>_xlfn.IFNA(VLOOKUP(VeredaTr1291621[[#This Row],[BUS]],_xlfn._xlws.SORT(TrCeib1181520[[BUS]:[T2]],11,-1,FALSE),11,FALSE),0)</f>
        <v>0.25416666666666665</v>
      </c>
      <c r="AE91" s="23">
        <f>+VeredaTr1291621[[#This Row],[∑VeredaTr]]+VeredaTr1291621[[#This Row],[T2]]</f>
        <v>0.5118055555555554</v>
      </c>
    </row>
    <row r="92" spans="1:31" x14ac:dyDescent="0.35">
      <c r="A92" t="s">
        <v>70</v>
      </c>
      <c r="B92" s="28">
        <v>7</v>
      </c>
      <c r="C92" s="23">
        <v>0.80694444444444435</v>
      </c>
      <c r="D92" s="23">
        <f t="shared" si="16"/>
        <v>5.5555555555555358E-3</v>
      </c>
      <c r="E92" s="23">
        <f>VLOOKUP(TrCeib1181520[[#This Row],[HORA]],'OFERTA (4)'!I:M,5,TRUE)</f>
        <v>9.7222222222222224E-3</v>
      </c>
      <c r="F92" s="23">
        <f t="shared" si="23"/>
        <v>4.2361111111111106E-2</v>
      </c>
      <c r="G92" s="23">
        <f t="shared" si="17"/>
        <v>0.84930555555555542</v>
      </c>
      <c r="H92" s="23">
        <f t="shared" si="18"/>
        <v>4.1666666666666519E-3</v>
      </c>
      <c r="I92" s="23"/>
      <c r="J92" s="23">
        <f t="shared" si="15"/>
        <v>0.81111111111111101</v>
      </c>
      <c r="K92" s="30">
        <f>(G92-C92)+TrCeib1181520[[#This Row],[Tt_tex]]</f>
        <v>4.2361111111111072E-2</v>
      </c>
      <c r="L92" s="30">
        <f>SUMIF(B$4:$B92,TrCeib1181520[[#This Row],[BUS]],$K$4:K92)</f>
        <v>0.25416666666666654</v>
      </c>
      <c r="M92" s="23">
        <f>_xlfn.IFNA(VLOOKUP(TrCeib1181520[[#This Row],[BUS]],_xlfn._xlws.SORT(VeredaTr1291621[[BUS]:[T2]],11,-1,FALSE),11,FALSE),0)</f>
        <v>0.22083333333333324</v>
      </c>
      <c r="N92" s="23">
        <f>+TrCeib1181520[[#This Row],[∑TrCeib]]+TrCeib1181520[[#This Row],[T2]]</f>
        <v>0.47499999999999976</v>
      </c>
      <c r="S92" s="28">
        <v>8</v>
      </c>
      <c r="T92" s="23">
        <v>0.82152777777777763</v>
      </c>
      <c r="U92" s="23">
        <f t="shared" si="13"/>
        <v>1.2499999999999956E-2</v>
      </c>
      <c r="V92" s="23">
        <f>VLOOKUP(VeredaTr1291621[[#This Row],[HORA]],'OFERTA (4)'!B:F,5,TRUE)</f>
        <v>9.7222222222222224E-3</v>
      </c>
      <c r="W92" s="23">
        <f t="shared" si="19"/>
        <v>3.6805555555555557E-2</v>
      </c>
      <c r="X92" s="23">
        <f t="shared" si="20"/>
        <v>0.85833333333333317</v>
      </c>
      <c r="Y92" s="23">
        <f t="shared" si="14"/>
        <v>-2.7777777777777679E-3</v>
      </c>
      <c r="Z92" s="23"/>
      <c r="AA92" s="23">
        <f t="shared" si="21"/>
        <v>0.81874999999999987</v>
      </c>
      <c r="AB92" s="30">
        <f t="shared" si="22"/>
        <v>3.6805555555555536E-2</v>
      </c>
      <c r="AC92" s="30">
        <f>SUMIF($S$4:S105,S92,$AB$4:AB105)</f>
        <v>0.22083333333333321</v>
      </c>
      <c r="AD92" s="23">
        <f>_xlfn.IFNA(VLOOKUP(VeredaTr1291621[[#This Row],[BUS]],_xlfn._xlws.SORT(TrCeib1181520[[BUS]:[T2]],11,-1,FALSE),11,FALSE),0)</f>
        <v>0.21180555555555547</v>
      </c>
      <c r="AE92" s="23">
        <f>+VeredaTr1291621[[#This Row],[∑VeredaTr]]+VeredaTr1291621[[#This Row],[T2]]</f>
        <v>0.43263888888888868</v>
      </c>
    </row>
    <row r="93" spans="1:31" x14ac:dyDescent="0.35">
      <c r="C93" s="23"/>
      <c r="D93" s="23">
        <f t="shared" si="16"/>
        <v>-0.80694444444444435</v>
      </c>
      <c r="E93" s="23" t="e">
        <f>VLOOKUP(TrCeib1181520[[#This Row],[HORA]],'OFERTA (4)'!I:M,5,TRUE)</f>
        <v>#N/A</v>
      </c>
      <c r="F93" s="23">
        <f t="shared" si="23"/>
        <v>4.2361111111111106E-2</v>
      </c>
      <c r="G93" s="23">
        <f t="shared" si="17"/>
        <v>4.2361111111111106E-2</v>
      </c>
      <c r="H93" s="23" t="e">
        <f t="shared" si="18"/>
        <v>#N/A</v>
      </c>
      <c r="I93" s="23"/>
      <c r="J93" s="23" t="e">
        <f t="shared" si="15"/>
        <v>#N/A</v>
      </c>
      <c r="K93" s="30">
        <f>(G93-C93)+TrCeib1181520[[#This Row],[Tt_tex]]</f>
        <v>4.2361111111111106E-2</v>
      </c>
      <c r="L93" s="30">
        <f>SUMIF(B$4:$B93,TrCeib1181520[[#This Row],[BUS]],$K$4:K93)</f>
        <v>0</v>
      </c>
      <c r="M93" s="23">
        <f>_xlfn.IFNA(VLOOKUP(TrCeib1181520[[#This Row],[BUS]],_xlfn._xlws.SORT(VeredaTr1291621[[BUS]:[T2]],11,-1,FALSE),11,FALSE),0)</f>
        <v>0</v>
      </c>
      <c r="N93" s="23">
        <f>+TrCeib1181520[[#This Row],[∑TrCeib]]+TrCeib1181520[[#This Row],[T2]]</f>
        <v>0</v>
      </c>
      <c r="S93" s="28">
        <v>1</v>
      </c>
      <c r="T93" s="23">
        <v>0.83263888888888882</v>
      </c>
      <c r="U93" s="23">
        <f t="shared" si="13"/>
        <v>1.1111111111111183E-2</v>
      </c>
      <c r="V93" s="23">
        <f>VLOOKUP(VeredaTr1291621[[#This Row],[HORA]],'OFERTA (4)'!B:F,5,TRUE)</f>
        <v>9.7222222222222224E-3</v>
      </c>
      <c r="W93" s="23">
        <f t="shared" si="19"/>
        <v>3.6805555555555557E-2</v>
      </c>
      <c r="X93" s="23">
        <f t="shared" si="20"/>
        <v>0.86944444444444435</v>
      </c>
      <c r="Y93" s="23">
        <f t="shared" si="14"/>
        <v>-1.388888888888995E-3</v>
      </c>
      <c r="Z93" s="23"/>
      <c r="AA93" s="23">
        <f t="shared" si="21"/>
        <v>0.83124999999999982</v>
      </c>
      <c r="AB93" s="30">
        <f t="shared" si="22"/>
        <v>3.6805555555555536E-2</v>
      </c>
      <c r="AC93" s="30">
        <f>SUMIF($S$4:S93,S93,$AB$4:AB93)</f>
        <v>0.22083333333333321</v>
      </c>
      <c r="AD93" s="23">
        <f>_xlfn.IFNA(VLOOKUP(VeredaTr1291621[[#This Row],[BUS]],_xlfn._xlws.SORT(TrCeib1181520[[BUS]:[T2]],11,-1,FALSE),11,FALSE),0)</f>
        <v>0.2541666666666666</v>
      </c>
      <c r="AE93" s="23">
        <f>+VeredaTr1291621[[#This Row],[∑VeredaTr]]+VeredaTr1291621[[#This Row],[T2]]</f>
        <v>0.47499999999999981</v>
      </c>
    </row>
    <row r="94" spans="1:31" x14ac:dyDescent="0.35">
      <c r="C94" s="23"/>
      <c r="D94" s="23">
        <f t="shared" si="16"/>
        <v>0</v>
      </c>
      <c r="E94" s="23" t="e">
        <f>VLOOKUP(TrCeib1181520[[#This Row],[HORA]],'OFERTA (4)'!I:M,5,TRUE)</f>
        <v>#N/A</v>
      </c>
      <c r="F94" s="23">
        <f t="shared" si="23"/>
        <v>4.2361111111111106E-2</v>
      </c>
      <c r="G94" s="23">
        <f t="shared" si="17"/>
        <v>4.2361111111111106E-2</v>
      </c>
      <c r="H94" s="23" t="e">
        <f t="shared" si="18"/>
        <v>#N/A</v>
      </c>
      <c r="I94" s="23"/>
      <c r="J94" s="23" t="e">
        <f t="shared" si="15"/>
        <v>#N/A</v>
      </c>
      <c r="K94" s="30">
        <f>(G94-C94)+TrCeib1181520[[#This Row],[Tt_tex]]</f>
        <v>4.2361111111111106E-2</v>
      </c>
      <c r="L94" s="30">
        <f>SUMIF(B$4:$B94,TrCeib1181520[[#This Row],[BUS]],$K$4:K94)</f>
        <v>0</v>
      </c>
      <c r="M94" s="23">
        <f>_xlfn.IFNA(VLOOKUP(TrCeib1181520[[#This Row],[BUS]],_xlfn._xlws.SORT(VeredaTr1291621[[BUS]:[T2]],11,-1,FALSE),11,FALSE),0)</f>
        <v>0</v>
      </c>
      <c r="N94" s="23">
        <f>+TrCeib1181520[[#This Row],[∑TrCeib]]+TrCeib1181520[[#This Row],[T2]]</f>
        <v>0</v>
      </c>
      <c r="S94" s="28">
        <v>2</v>
      </c>
      <c r="T94" s="23">
        <v>0.84374999999999989</v>
      </c>
      <c r="U94" s="23">
        <f t="shared" si="13"/>
        <v>1.1111111111111072E-2</v>
      </c>
      <c r="V94" s="23">
        <f>VLOOKUP(VeredaTr1291621[[#This Row],[HORA]],'OFERTA (4)'!B:F,5,TRUE)</f>
        <v>9.7222222222222224E-3</v>
      </c>
      <c r="W94" s="23">
        <f t="shared" si="19"/>
        <v>3.6805555555555557E-2</v>
      </c>
      <c r="X94" s="23">
        <f t="shared" si="20"/>
        <v>0.88055555555555542</v>
      </c>
      <c r="Y94" s="23">
        <f t="shared" si="14"/>
        <v>-1.388888888888884E-3</v>
      </c>
      <c r="Z94" s="23"/>
      <c r="AA94" s="23">
        <f t="shared" si="21"/>
        <v>0.84236111111111101</v>
      </c>
      <c r="AB94" s="30">
        <f t="shared" si="22"/>
        <v>3.6805555555555536E-2</v>
      </c>
      <c r="AC94" s="30">
        <f>SUMIF($S$4:S94,S94,$AB$4:AB94)</f>
        <v>0.22083333333333321</v>
      </c>
      <c r="AD94" s="23">
        <f>_xlfn.IFNA(VLOOKUP(VeredaTr1291621[[#This Row],[BUS]],_xlfn._xlws.SORT(TrCeib1181520[[BUS]:[T2]],11,-1,FALSE),11,FALSE),0)</f>
        <v>0.25416666666666654</v>
      </c>
      <c r="AE94" s="23">
        <f>+VeredaTr1291621[[#This Row],[∑VeredaTr]]+VeredaTr1291621[[#This Row],[T2]]</f>
        <v>0.47499999999999976</v>
      </c>
    </row>
    <row r="95" spans="1:31" x14ac:dyDescent="0.35">
      <c r="C95" s="23"/>
      <c r="D95" s="23">
        <f t="shared" si="16"/>
        <v>0</v>
      </c>
      <c r="E95" s="23" t="e">
        <f>VLOOKUP(TrCeib1181520[[#This Row],[HORA]],'OFERTA (4)'!I:M,5,TRUE)</f>
        <v>#N/A</v>
      </c>
      <c r="F95" s="23">
        <f t="shared" si="23"/>
        <v>4.2361111111111106E-2</v>
      </c>
      <c r="G95" s="23">
        <f t="shared" si="17"/>
        <v>4.2361111111111106E-2</v>
      </c>
      <c r="H95" s="23" t="e">
        <f t="shared" si="18"/>
        <v>#N/A</v>
      </c>
      <c r="I95" s="23"/>
      <c r="J95" s="23" t="e">
        <f t="shared" si="15"/>
        <v>#N/A</v>
      </c>
      <c r="K95" s="30">
        <f>(G95-C95)+TrCeib1181520[[#This Row],[Tt_tex]]</f>
        <v>4.2361111111111106E-2</v>
      </c>
      <c r="L95" s="30">
        <f>SUMIF(B$4:$B95,TrCeib1181520[[#This Row],[BUS]],$K$4:K95)</f>
        <v>0</v>
      </c>
      <c r="M95" s="23">
        <f>_xlfn.IFNA(VLOOKUP(TrCeib1181520[[#This Row],[BUS]],_xlfn._xlws.SORT(VeredaTr1291621[[BUS]:[T2]],11,-1,FALSE),11,FALSE),0)</f>
        <v>0</v>
      </c>
      <c r="N95" s="23">
        <f>+TrCeib1181520[[#This Row],[∑TrCeib]]+TrCeib1181520[[#This Row],[T2]]</f>
        <v>0</v>
      </c>
      <c r="T95" s="23"/>
      <c r="U95" s="23">
        <f t="shared" si="13"/>
        <v>-0.84374999999999989</v>
      </c>
      <c r="V95" s="23" t="e">
        <f>VLOOKUP(VeredaTr1291621[[#This Row],[HORA]],'OFERTA (4)'!B:F,5,TRUE)</f>
        <v>#N/A</v>
      </c>
      <c r="W95" s="23">
        <f t="shared" si="19"/>
        <v>3.6805555555555557E-2</v>
      </c>
      <c r="X95" s="23">
        <f t="shared" si="20"/>
        <v>3.6805555555555557E-2</v>
      </c>
      <c r="Y95" s="23" t="e">
        <f t="shared" si="14"/>
        <v>#N/A</v>
      </c>
      <c r="Z95" s="23"/>
      <c r="AA95" s="23" t="e">
        <f t="shared" si="21"/>
        <v>#N/A</v>
      </c>
      <c r="AB95" s="30">
        <f t="shared" si="22"/>
        <v>3.6805555555555557E-2</v>
      </c>
      <c r="AC95" s="30">
        <f>SUMIF($S$4:S95,S95,$AB$4:AB95)</f>
        <v>0</v>
      </c>
      <c r="AD95" s="23">
        <f>_xlfn.IFNA(VLOOKUP(VeredaTr1291621[[#This Row],[BUS]],_xlfn._xlws.SORT(TrCeib1181520[[BUS]:[T2]],11,-1,FALSE),11,FALSE),0)</f>
        <v>0</v>
      </c>
      <c r="AE95" s="23">
        <f>+VeredaTr1291621[[#This Row],[∑VeredaTr]]+VeredaTr1291621[[#This Row],[T2]]</f>
        <v>0</v>
      </c>
    </row>
    <row r="96" spans="1:31" x14ac:dyDescent="0.35">
      <c r="C96" s="23"/>
      <c r="D96" s="23">
        <f t="shared" si="16"/>
        <v>0</v>
      </c>
      <c r="E96" s="23" t="e">
        <f>VLOOKUP(TrCeib1181520[[#This Row],[HORA]],'OFERTA (4)'!I:M,5,TRUE)</f>
        <v>#N/A</v>
      </c>
      <c r="F96" s="23">
        <f t="shared" si="23"/>
        <v>4.2361111111111106E-2</v>
      </c>
      <c r="G96" s="23">
        <f t="shared" si="17"/>
        <v>4.2361111111111106E-2</v>
      </c>
      <c r="H96" s="23" t="e">
        <f t="shared" si="18"/>
        <v>#N/A</v>
      </c>
      <c r="I96" s="23"/>
      <c r="J96" s="23" t="e">
        <f t="shared" si="15"/>
        <v>#N/A</v>
      </c>
      <c r="K96" s="30">
        <f>(G96-C96)+TrCeib1181520[[#This Row],[Tt_tex]]</f>
        <v>4.2361111111111106E-2</v>
      </c>
      <c r="L96" s="30">
        <f>SUMIF(B$4:$B96,TrCeib1181520[[#This Row],[BUS]],$K$4:K96)</f>
        <v>0</v>
      </c>
      <c r="M96" s="23">
        <f>_xlfn.IFNA(VLOOKUP(TrCeib1181520[[#This Row],[BUS]],_xlfn._xlws.SORT(VeredaTr1291621[[BUS]:[T2]],11,-1,FALSE),11,FALSE),0)</f>
        <v>0</v>
      </c>
      <c r="N96" s="23">
        <f>+TrCeib1181520[[#This Row],[∑TrCeib]]+TrCeib1181520[[#This Row],[T2]]</f>
        <v>0</v>
      </c>
      <c r="T96" s="23"/>
      <c r="U96" s="23">
        <f t="shared" si="13"/>
        <v>0</v>
      </c>
      <c r="V96" s="23" t="e">
        <f>VLOOKUP(VeredaTr1291621[[#This Row],[HORA]],'OFERTA (4)'!B:F,5,TRUE)</f>
        <v>#N/A</v>
      </c>
      <c r="W96" s="23">
        <f t="shared" si="19"/>
        <v>3.6805555555555557E-2</v>
      </c>
      <c r="X96" s="23">
        <f t="shared" si="20"/>
        <v>3.6805555555555557E-2</v>
      </c>
      <c r="Y96" s="23" t="e">
        <f t="shared" si="14"/>
        <v>#N/A</v>
      </c>
      <c r="Z96" s="23"/>
      <c r="AA96" s="23" t="e">
        <f t="shared" si="21"/>
        <v>#N/A</v>
      </c>
      <c r="AB96" s="30">
        <f t="shared" si="22"/>
        <v>3.6805555555555557E-2</v>
      </c>
      <c r="AC96" s="30">
        <f>SUMIF($S$4:S96,S96,$AB$4:AB96)</f>
        <v>0</v>
      </c>
      <c r="AD96" s="23">
        <f>_xlfn.IFNA(VLOOKUP(VeredaTr1291621[[#This Row],[BUS]],_xlfn._xlws.SORT(TrCeib1181520[[BUS]:[T2]],11,-1,FALSE),11,FALSE),0)</f>
        <v>0</v>
      </c>
      <c r="AE96" s="23">
        <f>+VeredaTr1291621[[#This Row],[∑VeredaTr]]+VeredaTr1291621[[#This Row],[T2]]</f>
        <v>0</v>
      </c>
    </row>
    <row r="97" spans="3:31" x14ac:dyDescent="0.35">
      <c r="C97" s="23"/>
      <c r="D97" s="23">
        <f t="shared" si="16"/>
        <v>0</v>
      </c>
      <c r="E97" s="23" t="e">
        <f>VLOOKUP(TrCeib1181520[[#This Row],[HORA]],'OFERTA (4)'!I:M,5,TRUE)</f>
        <v>#N/A</v>
      </c>
      <c r="F97" s="23">
        <f t="shared" si="23"/>
        <v>4.2361111111111106E-2</v>
      </c>
      <c r="G97" s="23">
        <f t="shared" si="17"/>
        <v>4.2361111111111106E-2</v>
      </c>
      <c r="H97" s="23" t="e">
        <f t="shared" si="18"/>
        <v>#N/A</v>
      </c>
      <c r="I97" s="23"/>
      <c r="J97" s="23" t="e">
        <f t="shared" si="15"/>
        <v>#N/A</v>
      </c>
      <c r="K97" s="30">
        <f>(G97-C97)+TrCeib1181520[[#This Row],[Tt_tex]]</f>
        <v>4.2361111111111106E-2</v>
      </c>
      <c r="L97" s="30">
        <f>SUMIF(B$4:$B97,TrCeib1181520[[#This Row],[BUS]],$K$4:K97)</f>
        <v>0</v>
      </c>
      <c r="M97" s="23">
        <f>_xlfn.IFNA(VLOOKUP(TrCeib1181520[[#This Row],[BUS]],_xlfn._xlws.SORT(VeredaTr1291621[[BUS]:[T2]],11,-1,FALSE),11,FALSE),0)</f>
        <v>0</v>
      </c>
      <c r="N97" s="23">
        <f>+TrCeib1181520[[#This Row],[∑TrCeib]]+TrCeib1181520[[#This Row],[T2]]</f>
        <v>0</v>
      </c>
      <c r="T97" s="23"/>
      <c r="U97" s="23">
        <f t="shared" si="13"/>
        <v>0</v>
      </c>
      <c r="V97" s="23" t="e">
        <f>VLOOKUP(VeredaTr1291621[[#This Row],[HORA]],'OFERTA (4)'!B:F,5,TRUE)</f>
        <v>#N/A</v>
      </c>
      <c r="W97" s="23">
        <f t="shared" si="19"/>
        <v>3.6805555555555557E-2</v>
      </c>
      <c r="X97" s="23">
        <f t="shared" si="20"/>
        <v>3.6805555555555557E-2</v>
      </c>
      <c r="Y97" s="23" t="e">
        <f t="shared" si="14"/>
        <v>#N/A</v>
      </c>
      <c r="Z97" s="23"/>
      <c r="AA97" s="23" t="e">
        <f t="shared" si="21"/>
        <v>#N/A</v>
      </c>
      <c r="AB97" s="30">
        <f t="shared" si="22"/>
        <v>3.6805555555555557E-2</v>
      </c>
      <c r="AC97" s="30">
        <f>SUMIF($S$4:S97,S97,$AB$4:AB97)</f>
        <v>0</v>
      </c>
      <c r="AD97" s="23">
        <f>_xlfn.IFNA(VLOOKUP(VeredaTr1291621[[#This Row],[BUS]],_xlfn._xlws.SORT(TrCeib1181520[[BUS]:[T2]],11,-1,FALSE),11,FALSE),0)</f>
        <v>0</v>
      </c>
      <c r="AE97" s="23">
        <f>+VeredaTr1291621[[#This Row],[∑VeredaTr]]+VeredaTr1291621[[#This Row],[T2]]</f>
        <v>0</v>
      </c>
    </row>
    <row r="98" spans="3:31" x14ac:dyDescent="0.35">
      <c r="C98" s="23"/>
      <c r="D98" s="23">
        <f t="shared" si="16"/>
        <v>0</v>
      </c>
      <c r="E98" s="23" t="e">
        <f>VLOOKUP(TrCeib1181520[[#This Row],[HORA]],'OFERTA (4)'!I:M,5,TRUE)</f>
        <v>#N/A</v>
      </c>
      <c r="F98" s="23">
        <f t="shared" si="23"/>
        <v>4.2361111111111106E-2</v>
      </c>
      <c r="G98" s="23">
        <f t="shared" si="17"/>
        <v>4.2361111111111106E-2</v>
      </c>
      <c r="H98" s="23" t="e">
        <f t="shared" si="18"/>
        <v>#N/A</v>
      </c>
      <c r="I98" s="23"/>
      <c r="J98" s="23" t="e">
        <f t="shared" si="15"/>
        <v>#N/A</v>
      </c>
      <c r="K98" s="30">
        <f>(G98-C98)+TrCeib1181520[[#This Row],[Tt_tex]]</f>
        <v>4.2361111111111106E-2</v>
      </c>
      <c r="L98" s="30">
        <f>SUMIF(B$4:$B98,TrCeib1181520[[#This Row],[BUS]],$K$4:K98)</f>
        <v>0</v>
      </c>
      <c r="M98" s="23">
        <f>_xlfn.IFNA(VLOOKUP(TrCeib1181520[[#This Row],[BUS]],_xlfn._xlws.SORT(VeredaTr1291621[[BUS]:[T2]],11,-1,FALSE),11,FALSE),0)</f>
        <v>0</v>
      </c>
      <c r="N98" s="23">
        <f>+TrCeib1181520[[#This Row],[∑TrCeib]]+TrCeib1181520[[#This Row],[T2]]</f>
        <v>0</v>
      </c>
      <c r="T98" s="23"/>
      <c r="U98" s="23">
        <f t="shared" si="13"/>
        <v>0</v>
      </c>
      <c r="V98" s="23" t="e">
        <f>VLOOKUP(VeredaTr1291621[[#This Row],[HORA]],'OFERTA (4)'!B:F,5,TRUE)</f>
        <v>#N/A</v>
      </c>
      <c r="W98" s="23">
        <f t="shared" si="19"/>
        <v>3.6805555555555557E-2</v>
      </c>
      <c r="X98" s="23">
        <f t="shared" si="20"/>
        <v>3.6805555555555557E-2</v>
      </c>
      <c r="Y98" s="23" t="e">
        <f t="shared" si="14"/>
        <v>#N/A</v>
      </c>
      <c r="Z98" s="23"/>
      <c r="AA98" s="23" t="e">
        <f t="shared" si="21"/>
        <v>#N/A</v>
      </c>
      <c r="AB98" s="30">
        <f t="shared" si="22"/>
        <v>3.6805555555555557E-2</v>
      </c>
      <c r="AC98" s="30">
        <f>SUMIF($S$4:S98,S98,$AB$4:AB98)</f>
        <v>0</v>
      </c>
      <c r="AD98" s="23">
        <f>_xlfn.IFNA(VLOOKUP(VeredaTr1291621[[#This Row],[BUS]],_xlfn._xlws.SORT(TrCeib1181520[[BUS]:[T2]],11,-1,FALSE),11,FALSE),0)</f>
        <v>0</v>
      </c>
      <c r="AE98" s="23">
        <f>+VeredaTr1291621[[#This Row],[∑VeredaTr]]+VeredaTr1291621[[#This Row],[T2]]</f>
        <v>0</v>
      </c>
    </row>
    <row r="99" spans="3:31" x14ac:dyDescent="0.35">
      <c r="C99" s="23"/>
      <c r="D99" s="23">
        <f t="shared" si="16"/>
        <v>0</v>
      </c>
      <c r="E99" s="23" t="e">
        <f>VLOOKUP(TrCeib1181520[[#This Row],[HORA]],'OFERTA (4)'!I:M,5,TRUE)</f>
        <v>#N/A</v>
      </c>
      <c r="F99" s="23">
        <f t="shared" si="23"/>
        <v>4.2361111111111106E-2</v>
      </c>
      <c r="G99" s="23">
        <f t="shared" si="17"/>
        <v>4.2361111111111106E-2</v>
      </c>
      <c r="H99" s="23" t="e">
        <f t="shared" si="18"/>
        <v>#N/A</v>
      </c>
      <c r="I99" s="23"/>
      <c r="J99" s="23" t="e">
        <f t="shared" si="15"/>
        <v>#N/A</v>
      </c>
      <c r="K99" s="30">
        <f>(G99-C99)+TrCeib1181520[[#This Row],[Tt_tex]]</f>
        <v>4.2361111111111106E-2</v>
      </c>
      <c r="L99" s="30">
        <f>SUMIF(B$4:$B99,TrCeib1181520[[#This Row],[BUS]],$K$4:K99)</f>
        <v>0</v>
      </c>
      <c r="M99" s="23">
        <f>_xlfn.IFNA(VLOOKUP(TrCeib1181520[[#This Row],[BUS]],_xlfn._xlws.SORT(VeredaTr1291621[[BUS]:[T2]],11,-1,FALSE),11,FALSE),0)</f>
        <v>0</v>
      </c>
      <c r="N99" s="23">
        <f>+TrCeib1181520[[#This Row],[∑TrCeib]]+TrCeib1181520[[#This Row],[T2]]</f>
        <v>0</v>
      </c>
      <c r="T99" s="23"/>
      <c r="U99" s="23">
        <f t="shared" si="13"/>
        <v>0</v>
      </c>
      <c r="V99" s="23" t="e">
        <f>VLOOKUP(VeredaTr1291621[[#This Row],[HORA]],'OFERTA (4)'!B:F,5,TRUE)</f>
        <v>#N/A</v>
      </c>
      <c r="W99" s="23">
        <f t="shared" si="19"/>
        <v>3.6805555555555557E-2</v>
      </c>
      <c r="X99" s="23">
        <f t="shared" si="20"/>
        <v>3.6805555555555557E-2</v>
      </c>
      <c r="Y99" s="23" t="e">
        <f t="shared" si="14"/>
        <v>#N/A</v>
      </c>
      <c r="Z99" s="23"/>
      <c r="AA99" s="23" t="e">
        <f t="shared" si="21"/>
        <v>#N/A</v>
      </c>
      <c r="AB99" s="30">
        <f t="shared" si="22"/>
        <v>3.6805555555555557E-2</v>
      </c>
      <c r="AC99" s="30">
        <f>SUMIF($S$4:S99,S99,$AB$4:AB99)</f>
        <v>0</v>
      </c>
      <c r="AD99" s="23">
        <f>_xlfn.IFNA(VLOOKUP(VeredaTr1291621[[#This Row],[BUS]],_xlfn._xlws.SORT(TrCeib1181520[[BUS]:[T2]],11,-1,FALSE),11,FALSE),0)</f>
        <v>0</v>
      </c>
      <c r="AE99" s="23">
        <f>+VeredaTr1291621[[#This Row],[∑VeredaTr]]+VeredaTr1291621[[#This Row],[T2]]</f>
        <v>0</v>
      </c>
    </row>
    <row r="100" spans="3:31" x14ac:dyDescent="0.35">
      <c r="C100" s="23"/>
      <c r="D100" s="23">
        <f t="shared" si="16"/>
        <v>0</v>
      </c>
      <c r="E100" s="23" t="e">
        <f>VLOOKUP(TrCeib1181520[[#This Row],[HORA]],'OFERTA (4)'!I:M,5,TRUE)</f>
        <v>#N/A</v>
      </c>
      <c r="F100" s="23">
        <f t="shared" si="23"/>
        <v>4.2361111111111106E-2</v>
      </c>
      <c r="G100" s="23">
        <f t="shared" si="17"/>
        <v>4.2361111111111106E-2</v>
      </c>
      <c r="H100" s="23" t="e">
        <f t="shared" si="18"/>
        <v>#N/A</v>
      </c>
      <c r="I100" s="23"/>
      <c r="J100" s="23" t="e">
        <f t="shared" si="15"/>
        <v>#N/A</v>
      </c>
      <c r="K100" s="30">
        <f>(G100-C100)+TrCeib1181520[[#This Row],[Tt_tex]]</f>
        <v>4.2361111111111106E-2</v>
      </c>
      <c r="L100" s="30">
        <f>SUMIF(B$4:$B100,TrCeib1181520[[#This Row],[BUS]],$K$4:K100)</f>
        <v>0</v>
      </c>
      <c r="M100" s="23">
        <f>_xlfn.IFNA(VLOOKUP(TrCeib1181520[[#This Row],[BUS]],_xlfn._xlws.SORT(VeredaTr1291621[[BUS]:[T2]],11,-1,FALSE),11,FALSE),0)</f>
        <v>0</v>
      </c>
      <c r="N100" s="23">
        <f>+TrCeib1181520[[#This Row],[∑TrCeib]]+TrCeib1181520[[#This Row],[T2]]</f>
        <v>0</v>
      </c>
      <c r="T100" s="23"/>
      <c r="U100" s="23">
        <f t="shared" si="13"/>
        <v>0</v>
      </c>
      <c r="V100" s="23" t="e">
        <f>VLOOKUP(VeredaTr1291621[[#This Row],[HORA]],'OFERTA (4)'!B:F,5,TRUE)</f>
        <v>#N/A</v>
      </c>
      <c r="W100" s="23">
        <f t="shared" si="19"/>
        <v>3.6805555555555557E-2</v>
      </c>
      <c r="X100" s="23">
        <f t="shared" si="20"/>
        <v>3.6805555555555557E-2</v>
      </c>
      <c r="Y100" s="23" t="e">
        <f t="shared" si="14"/>
        <v>#N/A</v>
      </c>
      <c r="Z100" s="23"/>
      <c r="AA100" s="23" t="e">
        <f t="shared" si="21"/>
        <v>#N/A</v>
      </c>
      <c r="AB100" s="30">
        <f t="shared" si="22"/>
        <v>3.6805555555555557E-2</v>
      </c>
      <c r="AC100" s="30">
        <f>SUMIF($S$4:S100,S100,$AB$4:AB100)</f>
        <v>0</v>
      </c>
      <c r="AD100" s="23">
        <f>_xlfn.IFNA(VLOOKUP(VeredaTr1291621[[#This Row],[BUS]],_xlfn._xlws.SORT(TrCeib1181520[[BUS]:[T2]],11,-1,FALSE),11,FALSE),0)</f>
        <v>0</v>
      </c>
      <c r="AE100" s="23">
        <f>+VeredaTr1291621[[#This Row],[∑VeredaTr]]+VeredaTr1291621[[#This Row],[T2]]</f>
        <v>0</v>
      </c>
    </row>
    <row r="101" spans="3:31" x14ac:dyDescent="0.35">
      <c r="C101" s="23"/>
      <c r="D101" s="23">
        <f t="shared" si="16"/>
        <v>0</v>
      </c>
      <c r="E101" s="23" t="e">
        <f>VLOOKUP(TrCeib1181520[[#This Row],[HORA]],'OFERTA (4)'!I:M,5,TRUE)</f>
        <v>#N/A</v>
      </c>
      <c r="F101" s="23">
        <f t="shared" si="23"/>
        <v>4.2361111111111106E-2</v>
      </c>
      <c r="G101" s="23">
        <f t="shared" si="17"/>
        <v>4.2361111111111106E-2</v>
      </c>
      <c r="H101" s="23" t="e">
        <f t="shared" si="18"/>
        <v>#N/A</v>
      </c>
      <c r="I101" s="23"/>
      <c r="J101" s="23" t="e">
        <f t="shared" si="15"/>
        <v>#N/A</v>
      </c>
      <c r="K101" s="30">
        <f>(G101-C101)+TrCeib1181520[[#This Row],[Tt_tex]]</f>
        <v>4.2361111111111106E-2</v>
      </c>
      <c r="L101" s="30">
        <f>SUMIF(B$4:$B101,TrCeib1181520[[#This Row],[BUS]],$K$4:K101)</f>
        <v>0</v>
      </c>
      <c r="M101" s="23">
        <f>_xlfn.IFNA(VLOOKUP(TrCeib1181520[[#This Row],[BUS]],_xlfn._xlws.SORT(VeredaTr1291621[[BUS]:[T2]],11,-1,FALSE),11,FALSE),0)</f>
        <v>0</v>
      </c>
      <c r="N101" s="23">
        <f>+TrCeib1181520[[#This Row],[∑TrCeib]]+TrCeib1181520[[#This Row],[T2]]</f>
        <v>0</v>
      </c>
      <c r="T101" s="23"/>
      <c r="U101" s="23">
        <f t="shared" si="13"/>
        <v>0</v>
      </c>
      <c r="V101" s="23" t="e">
        <f>VLOOKUP(VeredaTr1291621[[#This Row],[HORA]],'OFERTA (4)'!B:F,5,TRUE)</f>
        <v>#N/A</v>
      </c>
      <c r="W101" s="23">
        <f t="shared" si="19"/>
        <v>3.6805555555555557E-2</v>
      </c>
      <c r="X101" s="23">
        <f t="shared" si="20"/>
        <v>3.6805555555555557E-2</v>
      </c>
      <c r="Y101" s="23" t="e">
        <f t="shared" si="14"/>
        <v>#N/A</v>
      </c>
      <c r="Z101" s="23"/>
      <c r="AA101" s="23" t="e">
        <f t="shared" si="21"/>
        <v>#N/A</v>
      </c>
      <c r="AB101" s="30">
        <f t="shared" si="22"/>
        <v>3.6805555555555557E-2</v>
      </c>
      <c r="AC101" s="30">
        <f>SUMIF($S$4:S105,S101,$AB$4:AB105)</f>
        <v>0</v>
      </c>
      <c r="AD101" s="23">
        <f>_xlfn.IFNA(VLOOKUP(VeredaTr1291621[[#This Row],[BUS]],_xlfn._xlws.SORT(TrCeib1181520[[BUS]:[T2]],11,-1,FALSE),11,FALSE),0)</f>
        <v>0</v>
      </c>
      <c r="AE101" s="23">
        <f>+VeredaTr1291621[[#This Row],[∑VeredaTr]]+VeredaTr1291621[[#This Row],[T2]]</f>
        <v>0</v>
      </c>
    </row>
    <row r="102" spans="3:31" x14ac:dyDescent="0.35">
      <c r="C102" s="23"/>
      <c r="D102" s="23">
        <f t="shared" si="16"/>
        <v>0</v>
      </c>
      <c r="E102" s="23" t="e">
        <f>VLOOKUP(TrCeib1181520[[#This Row],[HORA]],'OFERTA (4)'!I:M,5,TRUE)</f>
        <v>#N/A</v>
      </c>
      <c r="F102" s="23">
        <f t="shared" si="23"/>
        <v>4.2361111111111106E-2</v>
      </c>
      <c r="G102" s="23">
        <f t="shared" si="17"/>
        <v>4.2361111111111106E-2</v>
      </c>
      <c r="H102" s="23" t="e">
        <f t="shared" si="18"/>
        <v>#N/A</v>
      </c>
      <c r="I102" s="23"/>
      <c r="J102" s="23" t="e">
        <f t="shared" si="15"/>
        <v>#N/A</v>
      </c>
      <c r="K102" s="30">
        <f>(G102-C102)+TrCeib1181520[[#This Row],[Tt_tex]]</f>
        <v>4.2361111111111106E-2</v>
      </c>
      <c r="L102" s="30">
        <f>SUMIF(B$4:$B102,TrCeib1181520[[#This Row],[BUS]],$K$4:K102)</f>
        <v>0</v>
      </c>
      <c r="M102" s="23">
        <f>_xlfn.IFNA(VLOOKUP(TrCeib1181520[[#This Row],[BUS]],_xlfn._xlws.SORT(VeredaTr1291621[[BUS]:[T2]],11,-1,FALSE),11,FALSE),0)</f>
        <v>0</v>
      </c>
      <c r="N102" s="23">
        <f>+TrCeib1181520[[#This Row],[∑TrCeib]]+TrCeib1181520[[#This Row],[T2]]</f>
        <v>0</v>
      </c>
      <c r="T102" s="23"/>
      <c r="U102" s="23">
        <f t="shared" si="13"/>
        <v>0</v>
      </c>
      <c r="V102" s="23" t="e">
        <f>VLOOKUP(VeredaTr1291621[[#This Row],[HORA]],'OFERTA (4)'!B:F,5,TRUE)</f>
        <v>#N/A</v>
      </c>
      <c r="W102" s="23">
        <f t="shared" si="19"/>
        <v>3.6805555555555557E-2</v>
      </c>
      <c r="X102" s="23">
        <f t="shared" si="20"/>
        <v>3.6805555555555557E-2</v>
      </c>
      <c r="Y102" s="23" t="e">
        <f t="shared" si="14"/>
        <v>#N/A</v>
      </c>
      <c r="Z102" s="23"/>
      <c r="AA102" s="23" t="e">
        <f t="shared" si="21"/>
        <v>#N/A</v>
      </c>
      <c r="AB102" s="30">
        <f t="shared" si="22"/>
        <v>3.6805555555555557E-2</v>
      </c>
      <c r="AC102" s="30">
        <f>SUMIF($S$4:S102,S102,$AB$4:AB102)</f>
        <v>0</v>
      </c>
      <c r="AD102" s="23">
        <f>_xlfn.IFNA(VLOOKUP(VeredaTr1291621[[#This Row],[BUS]],_xlfn._xlws.SORT(TrCeib1181520[[BUS]:[T2]],11,-1,FALSE),11,FALSE),0)</f>
        <v>0</v>
      </c>
      <c r="AE102" s="23">
        <f>+VeredaTr1291621[[#This Row],[∑VeredaTr]]+VeredaTr1291621[[#This Row],[T2]]</f>
        <v>0</v>
      </c>
    </row>
    <row r="103" spans="3:31" x14ac:dyDescent="0.35">
      <c r="C103" s="23"/>
      <c r="D103" s="23">
        <f t="shared" si="16"/>
        <v>0</v>
      </c>
      <c r="E103" s="23" t="e">
        <f>VLOOKUP(TrCeib1181520[[#This Row],[HORA]],'OFERTA (4)'!I:M,5,TRUE)</f>
        <v>#N/A</v>
      </c>
      <c r="F103" s="23">
        <f t="shared" si="23"/>
        <v>4.2361111111111106E-2</v>
      </c>
      <c r="G103" s="23">
        <f t="shared" si="17"/>
        <v>4.2361111111111106E-2</v>
      </c>
      <c r="H103" s="23" t="e">
        <f t="shared" si="18"/>
        <v>#N/A</v>
      </c>
      <c r="I103" s="23"/>
      <c r="J103" s="23" t="e">
        <f t="shared" si="15"/>
        <v>#N/A</v>
      </c>
      <c r="K103" s="30">
        <f>(G103-C103)+TrCeib1181520[[#This Row],[Tt_tex]]</f>
        <v>4.2361111111111106E-2</v>
      </c>
      <c r="L103" s="30">
        <f>SUMIF(B$4:$B103,TrCeib1181520[[#This Row],[BUS]],$K$4:K103)</f>
        <v>0</v>
      </c>
      <c r="M103" s="23">
        <f>_xlfn.IFNA(VLOOKUP(TrCeib1181520[[#This Row],[BUS]],_xlfn._xlws.SORT(VeredaTr1291621[[BUS]:[T2]],11,-1,FALSE),11,FALSE),0)</f>
        <v>0</v>
      </c>
      <c r="N103" s="23">
        <f>+TrCeib1181520[[#This Row],[∑TrCeib]]+TrCeib1181520[[#This Row],[T2]]</f>
        <v>0</v>
      </c>
      <c r="T103" s="23"/>
      <c r="U103" s="23">
        <f t="shared" si="13"/>
        <v>0</v>
      </c>
      <c r="V103" s="23" t="e">
        <f>VLOOKUP(VeredaTr1291621[[#This Row],[HORA]],'OFERTA (4)'!B:F,5,TRUE)</f>
        <v>#N/A</v>
      </c>
      <c r="W103" s="23">
        <f t="shared" si="19"/>
        <v>3.6805555555555557E-2</v>
      </c>
      <c r="X103" s="23">
        <f t="shared" si="20"/>
        <v>3.6805555555555557E-2</v>
      </c>
      <c r="Y103" s="23" t="e">
        <f t="shared" si="14"/>
        <v>#N/A</v>
      </c>
      <c r="Z103" s="23"/>
      <c r="AA103" s="23" t="e">
        <f t="shared" si="21"/>
        <v>#N/A</v>
      </c>
      <c r="AB103" s="30">
        <f t="shared" si="22"/>
        <v>3.6805555555555557E-2</v>
      </c>
      <c r="AC103" s="30">
        <f>SUMIF($S$4:S103,S103,$AB$4:AB103)</f>
        <v>0</v>
      </c>
      <c r="AD103" s="23">
        <f>_xlfn.IFNA(VLOOKUP(VeredaTr1291621[[#This Row],[BUS]],_xlfn._xlws.SORT(TrCeib1181520[[BUS]:[T2]],11,-1,FALSE),11,FALSE),0)</f>
        <v>0</v>
      </c>
      <c r="AE103" s="23">
        <f>+VeredaTr1291621[[#This Row],[∑VeredaTr]]+VeredaTr1291621[[#This Row],[T2]]</f>
        <v>0</v>
      </c>
    </row>
    <row r="104" spans="3:31" x14ac:dyDescent="0.35">
      <c r="C104" s="23"/>
      <c r="D104" s="23">
        <f t="shared" si="16"/>
        <v>0</v>
      </c>
      <c r="E104" s="23" t="e">
        <f>VLOOKUP(TrCeib1181520[[#This Row],[HORA]],'OFERTA (4)'!I:M,5,TRUE)</f>
        <v>#N/A</v>
      </c>
      <c r="F104" s="23">
        <f t="shared" si="23"/>
        <v>4.2361111111111106E-2</v>
      </c>
      <c r="G104" s="23">
        <f t="shared" si="17"/>
        <v>4.2361111111111106E-2</v>
      </c>
      <c r="H104" s="23" t="e">
        <f t="shared" si="18"/>
        <v>#N/A</v>
      </c>
      <c r="I104" s="23"/>
      <c r="J104" s="23" t="e">
        <f t="shared" si="15"/>
        <v>#N/A</v>
      </c>
      <c r="K104" s="30">
        <f>(G104-C104)+TrCeib1181520[[#This Row],[Tt_tex]]</f>
        <v>4.2361111111111106E-2</v>
      </c>
      <c r="L104" s="30">
        <f>SUMIF(B$4:$B104,TrCeib1181520[[#This Row],[BUS]],$K$4:K104)</f>
        <v>0</v>
      </c>
      <c r="M104" s="23">
        <f>_xlfn.IFNA(VLOOKUP(TrCeib1181520[[#This Row],[BUS]],_xlfn._xlws.SORT(VeredaTr1291621[[BUS]:[T2]],11,-1,FALSE),11,FALSE),0)</f>
        <v>0</v>
      </c>
      <c r="N104" s="23">
        <f>+TrCeib1181520[[#This Row],[∑TrCeib]]+TrCeib1181520[[#This Row],[T2]]</f>
        <v>0</v>
      </c>
      <c r="T104" s="23"/>
      <c r="U104" s="23">
        <f t="shared" si="13"/>
        <v>0</v>
      </c>
      <c r="V104" s="23" t="e">
        <f>VLOOKUP(VeredaTr1291621[[#This Row],[HORA]],'OFERTA (4)'!B:F,5,TRUE)</f>
        <v>#N/A</v>
      </c>
      <c r="W104" s="23">
        <f t="shared" si="19"/>
        <v>3.6805555555555557E-2</v>
      </c>
      <c r="X104" s="23">
        <f t="shared" si="20"/>
        <v>3.6805555555555557E-2</v>
      </c>
      <c r="Y104" s="23" t="e">
        <f t="shared" si="14"/>
        <v>#N/A</v>
      </c>
      <c r="Z104" s="23"/>
      <c r="AA104" s="23" t="e">
        <f t="shared" si="21"/>
        <v>#N/A</v>
      </c>
      <c r="AB104" s="30">
        <f t="shared" si="22"/>
        <v>3.6805555555555557E-2</v>
      </c>
      <c r="AC104" s="30">
        <f>SUMIF($S$4:S104,S104,$AB$4:AB104)</f>
        <v>0</v>
      </c>
      <c r="AD104" s="23">
        <f>_xlfn.IFNA(VLOOKUP(VeredaTr1291621[[#This Row],[BUS]],_xlfn._xlws.SORT(TrCeib1181520[[BUS]:[T2]],11,-1,FALSE),11,FALSE),0)</f>
        <v>0</v>
      </c>
      <c r="AE104" s="23">
        <f>+VeredaTr1291621[[#This Row],[∑VeredaTr]]+VeredaTr1291621[[#This Row],[T2]]</f>
        <v>0</v>
      </c>
    </row>
    <row r="105" spans="3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>
        <f t="shared" si="13"/>
        <v>0</v>
      </c>
      <c r="V105" s="23" t="e">
        <f>VLOOKUP(VeredaTr1291621[[#This Row],[HORA]],'OFERTA (4)'!B:F,5,TRUE)</f>
        <v>#N/A</v>
      </c>
      <c r="W105" s="23">
        <f t="shared" si="19"/>
        <v>3.6805555555555557E-2</v>
      </c>
      <c r="X105" s="23">
        <f t="shared" si="20"/>
        <v>3.6805555555555557E-2</v>
      </c>
      <c r="Y105" s="23" t="e">
        <f t="shared" si="14"/>
        <v>#N/A</v>
      </c>
      <c r="Z105" s="23"/>
      <c r="AA105" s="23" t="e">
        <f t="shared" si="21"/>
        <v>#N/A</v>
      </c>
      <c r="AB105" s="30">
        <f t="shared" si="22"/>
        <v>3.6805555555555557E-2</v>
      </c>
      <c r="AC105" s="30">
        <f>SUMIF($S$4:S105,S105,$AB$4:AB105)</f>
        <v>0</v>
      </c>
      <c r="AD105" s="23">
        <f>_xlfn.IFNA(VLOOKUP(VeredaTr1291621[[#This Row],[BUS]],_xlfn._xlws.SORT(TrCeib1181520[[BUS]:[T2]],11,-1,FALSE),11,FALSE),0)</f>
        <v>0</v>
      </c>
      <c r="AE105" s="23">
        <f>+VeredaTr1291621[[#This Row],[∑VeredaTr]]+VeredaTr1291621[[#This Row],[T2]]</f>
        <v>0</v>
      </c>
    </row>
    <row r="106" spans="3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  <c r="T135" s="23"/>
      <c r="U135" s="23"/>
      <c r="V135" s="23"/>
      <c r="W135" s="23"/>
      <c r="X135" s="23"/>
      <c r="Y135" s="23"/>
      <c r="Z135" s="23"/>
      <c r="AA135" s="23"/>
      <c r="AB135" s="30"/>
      <c r="AC135" s="30"/>
      <c r="AD135" s="23"/>
      <c r="AE135" s="23"/>
    </row>
    <row r="136" spans="3:31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  <c r="T136" s="23"/>
      <c r="U136" s="23"/>
      <c r="V136" s="23"/>
      <c r="W136" s="23"/>
      <c r="X136" s="23"/>
      <c r="Y136" s="23"/>
      <c r="Z136" s="23"/>
      <c r="AA136" s="23"/>
      <c r="AB136" s="30"/>
      <c r="AC136" s="30"/>
      <c r="AD136" s="23"/>
      <c r="AE136" s="23"/>
    </row>
    <row r="137" spans="3:31" x14ac:dyDescent="0.3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  <c r="T137" s="23"/>
      <c r="U137" s="23"/>
      <c r="V137" s="23"/>
      <c r="W137" s="23"/>
      <c r="X137" s="23"/>
      <c r="Y137" s="23"/>
      <c r="Z137" s="23"/>
      <c r="AA137" s="23"/>
      <c r="AB137" s="30"/>
      <c r="AC137" s="30"/>
      <c r="AD137" s="23"/>
      <c r="AE137" s="23"/>
    </row>
    <row r="138" spans="3:31" x14ac:dyDescent="0.3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  <c r="T138" s="23"/>
      <c r="U138" s="23"/>
      <c r="V138" s="23"/>
      <c r="W138" s="23"/>
      <c r="X138" s="23"/>
      <c r="Y138" s="23"/>
      <c r="Z138" s="23"/>
      <c r="AA138" s="23"/>
      <c r="AB138" s="30"/>
      <c r="AC138" s="30"/>
      <c r="AD138" s="23"/>
      <c r="AE138" s="23"/>
    </row>
    <row r="139" spans="3:31" x14ac:dyDescent="0.35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  <c r="T139" s="23"/>
      <c r="U139" s="23"/>
      <c r="V139" s="23"/>
      <c r="W139" s="23"/>
      <c r="X139" s="23"/>
      <c r="Y139" s="23"/>
      <c r="Z139" s="23"/>
      <c r="AA139" s="23"/>
      <c r="AB139" s="30"/>
      <c r="AC139" s="30"/>
      <c r="AD139" s="23"/>
      <c r="AE139" s="23"/>
    </row>
    <row r="140" spans="3:31" x14ac:dyDescent="0.35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5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  <row r="142" spans="3:31" x14ac:dyDescent="0.35">
      <c r="C142" s="23"/>
      <c r="D142" s="23"/>
      <c r="E142" s="23"/>
      <c r="F142" s="23"/>
      <c r="G142" s="23"/>
      <c r="I142" s="23"/>
      <c r="J142" s="23"/>
      <c r="K142" s="30"/>
      <c r="L142" s="30"/>
      <c r="M142" s="23"/>
      <c r="N142" s="23"/>
    </row>
    <row r="143" spans="3:31" x14ac:dyDescent="0.35">
      <c r="C143" s="23"/>
      <c r="D143" s="23"/>
      <c r="E143" s="23"/>
      <c r="F143" s="23"/>
      <c r="G143" s="23"/>
      <c r="I143" s="23"/>
      <c r="J143" s="23"/>
      <c r="K143" s="30"/>
      <c r="L143" s="30"/>
      <c r="M143" s="23"/>
      <c r="N143" s="23"/>
    </row>
    <row r="144" spans="3:31" x14ac:dyDescent="0.35">
      <c r="C144" s="23"/>
      <c r="D144" s="23"/>
      <c r="E144" s="23"/>
      <c r="F144" s="23"/>
      <c r="G144" s="23"/>
      <c r="I144" s="23"/>
      <c r="J144" s="23"/>
      <c r="K144" s="30"/>
      <c r="L144" s="30"/>
      <c r="M144" s="23"/>
      <c r="N144" s="23"/>
    </row>
    <row r="145" spans="3:14" x14ac:dyDescent="0.35">
      <c r="C145" s="23"/>
      <c r="D145" s="23"/>
      <c r="E145" s="23"/>
      <c r="F145" s="23"/>
      <c r="G145" s="23"/>
      <c r="I145" s="23"/>
      <c r="J145" s="23"/>
      <c r="K145" s="30"/>
      <c r="L145" s="30"/>
      <c r="M145" s="23"/>
      <c r="N145" s="23"/>
    </row>
    <row r="146" spans="3:14" x14ac:dyDescent="0.35">
      <c r="C146" s="23"/>
      <c r="D146" s="23"/>
      <c r="E146" s="23"/>
      <c r="F146" s="23"/>
      <c r="G146" s="23"/>
      <c r="I146" s="23"/>
      <c r="J146" s="23"/>
      <c r="K146" s="30"/>
      <c r="L146" s="30"/>
      <c r="M146" s="23"/>
      <c r="N146" s="23"/>
    </row>
    <row r="147" spans="3:14" x14ac:dyDescent="0.35">
      <c r="C147" s="23"/>
      <c r="D147" s="23"/>
      <c r="E147" s="23"/>
      <c r="F147" s="23"/>
      <c r="G147" s="23"/>
      <c r="I147" s="23"/>
      <c r="J147" s="23"/>
      <c r="K147" s="30"/>
      <c r="L147" s="30"/>
      <c r="M147" s="23"/>
      <c r="N147" s="23"/>
    </row>
  </sheetData>
  <mergeCells count="2">
    <mergeCell ref="A1:B1"/>
    <mergeCell ref="R1:S1"/>
  </mergeCells>
  <conditionalFormatting sqref="A1:A1048576 R3:R105">
    <cfRule type="containsText" dxfId="225" priority="3" operator="containsText" text="u">
      <formula>NOT(ISERROR(SEARCH("u",A1)))</formula>
    </cfRule>
    <cfRule type="containsText" dxfId="224" priority="4" operator="containsText" text="i">
      <formula>NOT(ISERROR(SEARCH("i",A1)))</formula>
    </cfRule>
  </conditionalFormatting>
  <conditionalFormatting sqref="R1">
    <cfRule type="containsText" dxfId="223" priority="1" operator="containsText" text="u">
      <formula>NOT(ISERROR(SEARCH("u",R1)))</formula>
    </cfRule>
    <cfRule type="containsText" dxfId="22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FF04D-8495-4BFD-BF7B-536B87863304}">
  <sheetPr codeName="Hoja26"/>
  <dimension ref="A1:AH140"/>
  <sheetViews>
    <sheetView showGridLines="0" tabSelected="1" zoomScaleNormal="100" workbookViewId="0">
      <pane ySplit="3" topLeftCell="A4" activePane="bottomLeft" state="frozen"/>
      <selection pane="bottomLeft" activeCell="Y108" sqref="N4:Y108"/>
    </sheetView>
  </sheetViews>
  <sheetFormatPr baseColWidth="10" defaultColWidth="11.453125" defaultRowHeight="14.5" x14ac:dyDescent="0.35"/>
  <cols>
    <col min="1" max="1" width="3.453125" bestFit="1" customWidth="1"/>
    <col min="2" max="2" width="11.6328125" style="28" bestFit="1" customWidth="1"/>
    <col min="3" max="3" width="4.08984375" bestFit="1" customWidth="1"/>
    <col min="4" max="4" width="9.54296875" bestFit="1" customWidth="1"/>
    <col min="5" max="7" width="8.90625" bestFit="1" customWidth="1"/>
    <col min="8" max="8" width="10.08984375" style="23" bestFit="1" customWidth="1"/>
    <col min="9" max="9" width="11.1796875" customWidth="1"/>
    <col min="10" max="11" width="8.90625" bestFit="1" customWidth="1"/>
    <col min="12" max="12" width="7.81640625" style="31" bestFit="1" customWidth="1"/>
    <col min="13" max="13" width="1" style="28" customWidth="1"/>
    <col min="14" max="14" width="3.453125" bestFit="1" customWidth="1"/>
    <col min="15" max="15" width="2" customWidth="1"/>
    <col min="16" max="16" width="4.453125" bestFit="1" customWidth="1"/>
    <col min="17" max="17" width="9.36328125" bestFit="1" customWidth="1"/>
    <col min="18" max="20" width="8.90625" bestFit="1" customWidth="1"/>
    <col min="21" max="21" width="10.08984375" bestFit="1" customWidth="1"/>
    <col min="22" max="24" width="8.90625" bestFit="1" customWidth="1"/>
    <col min="25" max="25" width="7.81640625" bestFit="1" customWidth="1"/>
    <col min="26" max="27" width="3" bestFit="1" customWidth="1"/>
    <col min="28" max="28" width="4.1796875" bestFit="1" customWidth="1"/>
    <col min="29" max="29" width="8.1796875" bestFit="1" customWidth="1"/>
  </cols>
  <sheetData>
    <row r="1" spans="1:34" x14ac:dyDescent="0.35">
      <c r="B1" s="34"/>
      <c r="D1" s="25" t="s">
        <v>99</v>
      </c>
      <c r="E1" s="7" t="s">
        <v>101</v>
      </c>
      <c r="F1" s="25" t="s">
        <v>102</v>
      </c>
      <c r="G1" s="23"/>
      <c r="L1" s="33"/>
      <c r="M1" s="57"/>
      <c r="Q1" s="7" t="s">
        <v>100</v>
      </c>
      <c r="R1" s="7" t="s">
        <v>103</v>
      </c>
      <c r="S1" s="25" t="s">
        <v>104</v>
      </c>
      <c r="Y1" s="54">
        <v>10</v>
      </c>
      <c r="Z1" s="54">
        <v>15</v>
      </c>
      <c r="AA1" s="54">
        <v>20</v>
      </c>
    </row>
    <row r="2" spans="1:34" x14ac:dyDescent="0.35">
      <c r="B2" s="34"/>
      <c r="C2" s="27"/>
      <c r="D2" s="25">
        <v>2.4305555555555556E-2</v>
      </c>
      <c r="E2" s="58">
        <v>1.3888888888888888E-2</v>
      </c>
      <c r="F2" s="60"/>
      <c r="G2" s="23"/>
      <c r="Q2" s="59">
        <v>2.4305555555555556E-2</v>
      </c>
      <c r="R2" s="58">
        <v>1.3888888888888888E-2</v>
      </c>
      <c r="S2" s="60"/>
    </row>
    <row r="3" spans="1:34" x14ac:dyDescent="0.35">
      <c r="A3" t="s">
        <v>71</v>
      </c>
      <c r="B3" s="32" t="s">
        <v>97</v>
      </c>
      <c r="C3" s="32" t="s">
        <v>64</v>
      </c>
      <c r="D3" s="32" t="s">
        <v>27</v>
      </c>
      <c r="E3" s="32" t="s">
        <v>65</v>
      </c>
      <c r="F3" s="32" t="s">
        <v>63</v>
      </c>
      <c r="G3" s="32" t="s">
        <v>69</v>
      </c>
      <c r="H3" s="32" t="s">
        <v>28</v>
      </c>
      <c r="I3" s="32" t="s">
        <v>92</v>
      </c>
      <c r="J3" s="32" t="s">
        <v>67</v>
      </c>
      <c r="K3" s="32" t="s">
        <v>66</v>
      </c>
      <c r="L3" s="32" t="s">
        <v>98</v>
      </c>
      <c r="M3"/>
      <c r="N3" t="s">
        <v>71</v>
      </c>
      <c r="O3" s="32" t="s">
        <v>97</v>
      </c>
      <c r="P3" s="32" t="s">
        <v>64</v>
      </c>
      <c r="Q3" s="32" t="s">
        <v>27</v>
      </c>
      <c r="R3" s="32" t="s">
        <v>65</v>
      </c>
      <c r="S3" s="32" t="s">
        <v>63</v>
      </c>
      <c r="T3" s="32" t="s">
        <v>69</v>
      </c>
      <c r="U3" s="32" t="s">
        <v>28</v>
      </c>
      <c r="V3" s="32" t="s">
        <v>92</v>
      </c>
      <c r="W3" s="32" t="s">
        <v>67</v>
      </c>
      <c r="X3" s="32" t="s">
        <v>66</v>
      </c>
      <c r="Y3" s="32" t="s">
        <v>98</v>
      </c>
      <c r="AF3" s="7" t="s">
        <v>95</v>
      </c>
      <c r="AG3" s="7" t="s">
        <v>85</v>
      </c>
      <c r="AH3" t="s">
        <v>105</v>
      </c>
    </row>
    <row r="4" spans="1:34" x14ac:dyDescent="0.35">
      <c r="A4" t="s">
        <v>63</v>
      </c>
      <c r="B4" t="s">
        <v>108</v>
      </c>
      <c r="C4" s="28">
        <v>1</v>
      </c>
      <c r="D4" s="23">
        <v>0.20833333333333334</v>
      </c>
      <c r="E4" s="23"/>
      <c r="F4" s="23">
        <f>VLOOKUP(TrCeib11815[[#This Row],[HORA_INI]],Ruta1[[HORA]:[iD]],5,TRUE)</f>
        <v>8.3333333333333332E-3</v>
      </c>
      <c r="G4" s="23">
        <f t="shared" ref="G4:G75" si="0">+$D$2</f>
        <v>2.4305555555555556E-2</v>
      </c>
      <c r="H4" s="23">
        <f t="shared" ref="H4:H7" si="1">D4+G4</f>
        <v>0.2326388888888889</v>
      </c>
      <c r="I4" s="23"/>
      <c r="J4" s="23"/>
      <c r="K4" s="23">
        <f t="shared" ref="K4:K7" si="2">+D4+I4</f>
        <v>0.20833333333333334</v>
      </c>
      <c r="L4" s="30">
        <f>(TrCeib11815[[#This Row],[HORA_FIN]]-TrCeib11815[[#This Row],[HORA_INI]])+TrCeib11815[[#This Row],[Tt_tex]]</f>
        <v>2.4305555555555552E-2</v>
      </c>
      <c r="M4"/>
      <c r="O4" t="s">
        <v>109</v>
      </c>
      <c r="P4" s="28">
        <v>1</v>
      </c>
      <c r="Q4" s="23">
        <v>0.23541666666666666</v>
      </c>
      <c r="R4" s="23"/>
      <c r="S4" s="23">
        <f>VLOOKUP(VeredaTr12916[[#This Row],[HORA_INI]],Ruta2[[HORA]:[iD]],5,TRUE)</f>
        <v>4.8611111111111112E-3</v>
      </c>
      <c r="T4" s="23">
        <f t="shared" ref="T4:T67" si="3">+$Q$2</f>
        <v>2.4305555555555556E-2</v>
      </c>
      <c r="U4" s="23">
        <f t="shared" ref="U4:U5" si="4">+Q4+T4</f>
        <v>0.25972222222222224</v>
      </c>
      <c r="V4" s="23"/>
      <c r="W4" s="23">
        <v>2.7777777777777779E-3</v>
      </c>
      <c r="X4" s="23">
        <f t="shared" ref="X4:X5" si="5">+Q4+V4</f>
        <v>0.23541666666666666</v>
      </c>
      <c r="Y4" s="30">
        <f>(U4-Q4+VeredaTr12916[[#This Row],[Tt_tex]])</f>
        <v>2.7083333333333359E-2</v>
      </c>
      <c r="AF4" s="7">
        <v>1</v>
      </c>
      <c r="AG4" s="25">
        <f>SUMIFS(TrCeib11815[T],TrCeib11815[BUS],AF4)+SUMIFS(VeredaTr12916[T],VeredaTr12916[BUS],AF4)</f>
        <v>0.5895833333333339</v>
      </c>
      <c r="AH4" t="s">
        <v>37</v>
      </c>
    </row>
    <row r="5" spans="1:34" x14ac:dyDescent="0.35">
      <c r="A5" t="s">
        <v>63</v>
      </c>
      <c r="B5" t="s">
        <v>108</v>
      </c>
      <c r="C5" s="28">
        <v>2</v>
      </c>
      <c r="D5" s="23">
        <v>0.21666666666666667</v>
      </c>
      <c r="E5" s="23">
        <f>D5-D4</f>
        <v>8.3333333333333315E-3</v>
      </c>
      <c r="F5" s="23">
        <f>VLOOKUP(TrCeib11815[[#This Row],[HORA_INI]],Ruta1[[HORA]:[iD]],5,TRUE)</f>
        <v>8.3333333333333332E-3</v>
      </c>
      <c r="G5" s="23">
        <f t="shared" si="0"/>
        <v>2.4305555555555556E-2</v>
      </c>
      <c r="H5" s="23">
        <f t="shared" si="1"/>
        <v>0.24097222222222223</v>
      </c>
      <c r="I5" s="23">
        <f t="shared" ref="I5:I7" si="6">+(D4+F5)-D5</f>
        <v>0</v>
      </c>
      <c r="J5" s="23"/>
      <c r="K5" s="23">
        <f t="shared" si="2"/>
        <v>0.21666666666666667</v>
      </c>
      <c r="L5" s="30">
        <f>(TrCeib11815[[#This Row],[HORA_FIN]]-TrCeib11815[[#This Row],[HORA_INI]])+TrCeib11815[[#This Row],[Tt_tex]]</f>
        <v>2.4305555555555552E-2</v>
      </c>
      <c r="M5" s="22"/>
      <c r="O5" t="s">
        <v>109</v>
      </c>
      <c r="P5" s="28">
        <v>2</v>
      </c>
      <c r="Q5" s="23">
        <v>0.24027777777777778</v>
      </c>
      <c r="R5" s="23">
        <f>Q5-Q4</f>
        <v>4.8611111111111216E-3</v>
      </c>
      <c r="S5" s="23">
        <f>VLOOKUP(VeredaTr12916[[#This Row],[HORA_INI]],Ruta2[[HORA]:[iD]],5,TRUE)</f>
        <v>4.8611111111111112E-3</v>
      </c>
      <c r="T5" s="23">
        <f t="shared" si="3"/>
        <v>2.4305555555555556E-2</v>
      </c>
      <c r="U5" s="23">
        <f t="shared" si="4"/>
        <v>0.26458333333333334</v>
      </c>
      <c r="V5" s="23">
        <f>+(Q4+S5)-Q5</f>
        <v>0</v>
      </c>
      <c r="W5" s="23"/>
      <c r="X5" s="23">
        <f t="shared" si="5"/>
        <v>0.24027777777777778</v>
      </c>
      <c r="Y5" s="30">
        <f>(U5-Q5+VeredaTr12916[[#This Row],[Tt_tex]])</f>
        <v>2.4305555555555552E-2</v>
      </c>
      <c r="AF5" s="7">
        <v>2</v>
      </c>
      <c r="AG5" s="25">
        <f>SUMIFS(TrCeib11815[T],TrCeib11815[BUS],AF5)+SUMIFS(VeredaTr12916[T],VeredaTr12916[BUS],AF5)</f>
        <v>0.59166666666666723</v>
      </c>
      <c r="AH5" t="s">
        <v>38</v>
      </c>
    </row>
    <row r="6" spans="1:34" x14ac:dyDescent="0.35">
      <c r="A6" t="s">
        <v>63</v>
      </c>
      <c r="B6" t="s">
        <v>108</v>
      </c>
      <c r="C6" s="28">
        <v>3</v>
      </c>
      <c r="D6" s="23">
        <v>0.22500000000000001</v>
      </c>
      <c r="E6" s="23">
        <f t="shared" ref="E6:E7" si="7">D6-D5</f>
        <v>8.3333333333333315E-3</v>
      </c>
      <c r="F6" s="23">
        <f>VLOOKUP(TrCeib11815[[#This Row],[HORA_INI]],Ruta1[[HORA]:[iD]],5,TRUE)</f>
        <v>8.3333333333333332E-3</v>
      </c>
      <c r="G6" s="23">
        <f t="shared" si="0"/>
        <v>2.4305555555555556E-2</v>
      </c>
      <c r="H6" s="23">
        <f t="shared" si="1"/>
        <v>0.24930555555555556</v>
      </c>
      <c r="I6" s="23">
        <f t="shared" si="6"/>
        <v>0</v>
      </c>
      <c r="J6" s="23"/>
      <c r="K6" s="23">
        <f t="shared" si="2"/>
        <v>0.22500000000000001</v>
      </c>
      <c r="L6" s="30">
        <f>(TrCeib11815[[#This Row],[HORA_FIN]]-TrCeib11815[[#This Row],[HORA_INI]])+TrCeib11815[[#This Row],[Tt_tex]]</f>
        <v>2.4305555555555552E-2</v>
      </c>
      <c r="M6" s="22"/>
      <c r="N6" t="s">
        <v>63</v>
      </c>
      <c r="O6" t="s">
        <v>109</v>
      </c>
      <c r="P6" s="28">
        <v>8</v>
      </c>
      <c r="Q6" s="73">
        <v>0.24513888888888888</v>
      </c>
      <c r="R6" s="23">
        <f t="shared" ref="R6:R13" si="8">Q6-Q5</f>
        <v>4.8611111111110938E-3</v>
      </c>
      <c r="S6" s="23">
        <f>VLOOKUP(VeredaTr12916[[#This Row],[HORA_INI]],Ruta2[[HORA]:[iD]],5,TRUE)</f>
        <v>4.8611111111111112E-3</v>
      </c>
      <c r="T6" s="23">
        <f t="shared" si="3"/>
        <v>2.4305555555555556E-2</v>
      </c>
      <c r="U6" s="23">
        <f t="shared" ref="U6:U7" si="9">+Q6+T6</f>
        <v>0.26944444444444443</v>
      </c>
      <c r="V6" s="23">
        <f t="shared" ref="V6:V7" si="10">+(Q5+S6)-Q6</f>
        <v>0</v>
      </c>
      <c r="W6" s="73"/>
      <c r="X6" s="73">
        <f>+Q6+V6</f>
        <v>0.24513888888888888</v>
      </c>
      <c r="Y6" s="30">
        <f>(U6-Q6+VeredaTr12916[[#This Row],[Tt_tex]])</f>
        <v>2.4305555555555552E-2</v>
      </c>
      <c r="AF6" s="7">
        <v>3</v>
      </c>
      <c r="AG6" s="25">
        <f>SUMIFS(TrCeib11815[T],TrCeib11815[BUS],AF6)+SUMIFS(VeredaTr12916[T],VeredaTr12916[BUS],AF6)</f>
        <v>0.63611111111111174</v>
      </c>
      <c r="AH6" t="s">
        <v>37</v>
      </c>
    </row>
    <row r="7" spans="1:34" x14ac:dyDescent="0.35">
      <c r="A7" t="s">
        <v>63</v>
      </c>
      <c r="B7" t="s">
        <v>108</v>
      </c>
      <c r="C7" s="28">
        <v>4</v>
      </c>
      <c r="D7" s="23">
        <v>0.23333333333333331</v>
      </c>
      <c r="E7" s="23">
        <f t="shared" si="7"/>
        <v>8.3333333333333037E-3</v>
      </c>
      <c r="F7" s="23">
        <f>VLOOKUP(TrCeib11815[[#This Row],[HORA_INI]],Ruta1[[HORA]:[iD]],5,TRUE)</f>
        <v>8.3333333333333332E-3</v>
      </c>
      <c r="G7" s="23">
        <f t="shared" si="0"/>
        <v>2.4305555555555556E-2</v>
      </c>
      <c r="H7" s="23">
        <f t="shared" si="1"/>
        <v>0.25763888888888886</v>
      </c>
      <c r="I7" s="23">
        <f t="shared" si="6"/>
        <v>0</v>
      </c>
      <c r="J7" s="23"/>
      <c r="K7" s="23">
        <f t="shared" si="2"/>
        <v>0.23333333333333331</v>
      </c>
      <c r="L7" s="30">
        <f>(TrCeib11815[[#This Row],[HORA_FIN]]-TrCeib11815[[#This Row],[HORA_INI]])+TrCeib11815[[#This Row],[Tt_tex]]</f>
        <v>2.4305555555555552E-2</v>
      </c>
      <c r="M7" s="22"/>
      <c r="O7" t="s">
        <v>109</v>
      </c>
      <c r="P7" s="28">
        <v>3</v>
      </c>
      <c r="Q7" s="23">
        <v>0.25</v>
      </c>
      <c r="R7" s="23">
        <f t="shared" si="8"/>
        <v>4.8611111111111216E-3</v>
      </c>
      <c r="S7" s="23">
        <f>VLOOKUP(VeredaTr12916[[#This Row],[HORA_INI]],Ruta2[[HORA]:[iD]],5,TRUE)</f>
        <v>4.8611111111111112E-3</v>
      </c>
      <c r="T7" s="23">
        <f t="shared" si="3"/>
        <v>2.4305555555555556E-2</v>
      </c>
      <c r="U7" s="23">
        <f t="shared" si="9"/>
        <v>0.27430555555555558</v>
      </c>
      <c r="V7" s="23">
        <f t="shared" si="10"/>
        <v>0</v>
      </c>
      <c r="W7" s="23">
        <v>6.9444444444444447E-4</v>
      </c>
      <c r="X7" s="23">
        <f t="shared" ref="X7:X14" si="11">+Q7+V7</f>
        <v>0.25</v>
      </c>
      <c r="Y7" s="30">
        <f>(U7-Q7+VeredaTr12916[[#This Row],[Tt_tex]])</f>
        <v>2.5000000000000026E-2</v>
      </c>
      <c r="AF7" s="7">
        <v>4</v>
      </c>
      <c r="AG7" s="25">
        <f>SUMIFS(TrCeib11815[T],TrCeib11815[BUS],AF7)+SUMIFS(VeredaTr12916[T],VeredaTr12916[BUS],AF7)</f>
        <v>0.61319444444444493</v>
      </c>
      <c r="AH7" t="s">
        <v>38</v>
      </c>
    </row>
    <row r="8" spans="1:34" x14ac:dyDescent="0.35">
      <c r="A8" t="s">
        <v>63</v>
      </c>
      <c r="B8" t="s">
        <v>108</v>
      </c>
      <c r="C8" s="28">
        <v>5</v>
      </c>
      <c r="D8" s="23">
        <v>0.24166666666666667</v>
      </c>
      <c r="E8" s="23">
        <f t="shared" ref="E8:E9" si="12">D8-D7</f>
        <v>8.3333333333333592E-3</v>
      </c>
      <c r="F8" s="23">
        <f>VLOOKUP(TrCeib11815[[#This Row],[HORA_INI]],Ruta1[[HORA]:[iD]],5,TRUE)</f>
        <v>8.3333333333333332E-3</v>
      </c>
      <c r="G8" s="23">
        <f t="shared" si="0"/>
        <v>2.4305555555555556E-2</v>
      </c>
      <c r="H8" s="23">
        <f t="shared" ref="H8:H9" si="13">D8+G8</f>
        <v>0.26597222222222222</v>
      </c>
      <c r="I8" s="23">
        <f t="shared" ref="I8:I9" si="14">+(D7+F8)-D8</f>
        <v>0</v>
      </c>
      <c r="J8" s="23"/>
      <c r="K8" s="23">
        <f t="shared" ref="K8:K9" si="15">+D8+I8</f>
        <v>0.24166666666666667</v>
      </c>
      <c r="L8" s="30">
        <f>(TrCeib11815[[#This Row],[HORA_FIN]]-TrCeib11815[[#This Row],[HORA_INI]])+TrCeib11815[[#This Row],[Tt_tex]]</f>
        <v>2.4305555555555552E-2</v>
      </c>
      <c r="M8" s="22"/>
      <c r="N8" t="s">
        <v>63</v>
      </c>
      <c r="O8" t="s">
        <v>109</v>
      </c>
      <c r="P8" s="28">
        <v>9</v>
      </c>
      <c r="Q8" s="73">
        <v>0.25486111111111109</v>
      </c>
      <c r="R8" s="23">
        <f t="shared" si="8"/>
        <v>4.8611111111110938E-3</v>
      </c>
      <c r="S8" s="23">
        <f>VLOOKUP(VeredaTr12916[[#This Row],[HORA_INI]],Ruta2[[HORA]:[iD]],5,TRUE)</f>
        <v>4.8611111111111112E-3</v>
      </c>
      <c r="T8" s="23">
        <f t="shared" si="3"/>
        <v>2.4305555555555556E-2</v>
      </c>
      <c r="U8" s="23">
        <f t="shared" ref="U8:U9" si="16">+Q8+T8</f>
        <v>0.27916666666666667</v>
      </c>
      <c r="V8" s="23">
        <f t="shared" ref="V8:V9" si="17">+(Q7+S8)-Q8</f>
        <v>0</v>
      </c>
      <c r="W8" s="73"/>
      <c r="X8" s="73">
        <f>+Q8+V8</f>
        <v>0.25486111111111109</v>
      </c>
      <c r="Y8" s="30">
        <f>(U8-Q8+VeredaTr12916[[#This Row],[Tt_tex]])</f>
        <v>2.430555555555558E-2</v>
      </c>
      <c r="AF8" s="7">
        <v>5</v>
      </c>
      <c r="AG8" s="25">
        <f>SUMIFS(TrCeib11815[T],TrCeib11815[BUS],AF8)+SUMIFS(VeredaTr12916[T],VeredaTr12916[BUS],AF8)</f>
        <v>0.31944444444444475</v>
      </c>
      <c r="AH8" t="s">
        <v>37</v>
      </c>
    </row>
    <row r="9" spans="1:34" x14ac:dyDescent="0.35">
      <c r="A9" t="s">
        <v>63</v>
      </c>
      <c r="B9" t="s">
        <v>108</v>
      </c>
      <c r="C9" s="28">
        <v>6</v>
      </c>
      <c r="D9" s="23">
        <v>0.25</v>
      </c>
      <c r="E9" s="23">
        <f t="shared" si="12"/>
        <v>8.3333333333333315E-3</v>
      </c>
      <c r="F9" s="23">
        <f>VLOOKUP(TrCeib11815[[#This Row],[HORA_INI]],Ruta1[[HORA]:[iD]],5,TRUE)</f>
        <v>4.8611111111111112E-3</v>
      </c>
      <c r="G9" s="23">
        <f t="shared" si="0"/>
        <v>2.4305555555555556E-2</v>
      </c>
      <c r="H9" s="23">
        <f t="shared" si="13"/>
        <v>0.27430555555555558</v>
      </c>
      <c r="I9" s="23">
        <f t="shared" si="14"/>
        <v>-3.4722222222222099E-3</v>
      </c>
      <c r="J9" s="23"/>
      <c r="K9" s="23">
        <f t="shared" si="15"/>
        <v>0.24652777777777779</v>
      </c>
      <c r="L9" s="30">
        <f>(TrCeib11815[[#This Row],[HORA_FIN]]-TrCeib11815[[#This Row],[HORA_INI]])+TrCeib11815[[#This Row],[Tt_tex]]</f>
        <v>2.430555555555558E-2</v>
      </c>
      <c r="M9" s="22"/>
      <c r="O9" t="s">
        <v>109</v>
      </c>
      <c r="P9" s="28">
        <v>4</v>
      </c>
      <c r="Q9" s="23">
        <v>0.25972222222222224</v>
      </c>
      <c r="R9" s="23">
        <f t="shared" si="8"/>
        <v>4.8611111111111494E-3</v>
      </c>
      <c r="S9" s="23">
        <f>VLOOKUP(VeredaTr12916[[#This Row],[HORA_INI]],Ruta2[[HORA]:[iD]],5,TRUE)</f>
        <v>4.8611111111111112E-3</v>
      </c>
      <c r="T9" s="23">
        <f t="shared" si="3"/>
        <v>2.4305555555555556E-2</v>
      </c>
      <c r="U9" s="23">
        <f t="shared" si="16"/>
        <v>0.28402777777777782</v>
      </c>
      <c r="V9" s="23">
        <f t="shared" si="17"/>
        <v>0</v>
      </c>
      <c r="W9" s="23">
        <v>2.0833333333333333E-3</v>
      </c>
      <c r="X9" s="23">
        <f t="shared" si="11"/>
        <v>0.25972222222222224</v>
      </c>
      <c r="Y9" s="30">
        <f>(U9-Q9+VeredaTr12916[[#This Row],[Tt_tex]])</f>
        <v>2.6388888888888913E-2</v>
      </c>
      <c r="AF9" s="7">
        <v>6</v>
      </c>
      <c r="AG9" s="25">
        <f>SUMIFS(TrCeib11815[T],TrCeib11815[BUS],AF9)+SUMIFS(VeredaTr12916[T],VeredaTr12916[BUS],AF9)</f>
        <v>0.56250000000000056</v>
      </c>
      <c r="AH9" t="s">
        <v>38</v>
      </c>
    </row>
    <row r="10" spans="1:34" x14ac:dyDescent="0.35">
      <c r="A10" t="s">
        <v>63</v>
      </c>
      <c r="B10" t="s">
        <v>108</v>
      </c>
      <c r="C10" s="28">
        <v>7</v>
      </c>
      <c r="D10" s="23">
        <v>0.25486111111111109</v>
      </c>
      <c r="E10" s="23">
        <f t="shared" ref="E10:E12" si="18">D10-D9</f>
        <v>4.8611111111110938E-3</v>
      </c>
      <c r="F10" s="23">
        <f>VLOOKUP(TrCeib11815[[#This Row],[HORA_INI]],Ruta1[[HORA]:[iD]],5,TRUE)</f>
        <v>4.8611111111111112E-3</v>
      </c>
      <c r="G10" s="23">
        <f t="shared" si="0"/>
        <v>2.4305555555555556E-2</v>
      </c>
      <c r="H10" s="23">
        <f t="shared" ref="H10:H12" si="19">D10+G10</f>
        <v>0.27916666666666667</v>
      </c>
      <c r="I10" s="23">
        <f t="shared" ref="I10:I12" si="20">+(D9+F10)-D10</f>
        <v>0</v>
      </c>
      <c r="J10" s="23"/>
      <c r="K10" s="23">
        <f>+D10+I10</f>
        <v>0.25486111111111109</v>
      </c>
      <c r="L10" s="30">
        <f>(TrCeib11815[[#This Row],[HORA_FIN]]-TrCeib11815[[#This Row],[HORA_INI]])+TrCeib11815[[#This Row],[Tt_tex]]</f>
        <v>2.430555555555558E-2</v>
      </c>
      <c r="M10" s="22"/>
      <c r="N10" t="s">
        <v>63</v>
      </c>
      <c r="O10" t="s">
        <v>109</v>
      </c>
      <c r="P10" s="28">
        <v>10</v>
      </c>
      <c r="Q10" s="73">
        <v>0.26458333333333334</v>
      </c>
      <c r="R10" s="23">
        <f t="shared" si="8"/>
        <v>4.8611111111110938E-3</v>
      </c>
      <c r="S10" s="23">
        <f>VLOOKUP(VeredaTr12916[[#This Row],[HORA_INI]],Ruta2[[HORA]:[iD]],5,TRUE)</f>
        <v>4.8611111111111112E-3</v>
      </c>
      <c r="T10" s="23">
        <f t="shared" si="3"/>
        <v>2.4305555555555556E-2</v>
      </c>
      <c r="U10" s="23">
        <f t="shared" ref="U10:U13" si="21">+Q10+T10</f>
        <v>0.28888888888888892</v>
      </c>
      <c r="V10" s="23">
        <f t="shared" ref="V10:V13" si="22">+(Q9+S10)-Q10</f>
        <v>0</v>
      </c>
      <c r="W10" s="73"/>
      <c r="X10" s="73">
        <f>+Q10+V10</f>
        <v>0.26458333333333334</v>
      </c>
      <c r="Y10" s="30">
        <f>(U10-Q10+VeredaTr12916[[#This Row],[Tt_tex]])</f>
        <v>2.430555555555558E-2</v>
      </c>
      <c r="AF10" s="72">
        <v>7</v>
      </c>
      <c r="AG10" s="71">
        <f>SUMIFS(TrCeib11815[T],TrCeib11815[BUS],AF10)+SUMIFS(VeredaTr12916[T],VeredaTr12916[BUS],AF10)</f>
        <v>0.6111111111111116</v>
      </c>
      <c r="AH10" t="s">
        <v>37</v>
      </c>
    </row>
    <row r="11" spans="1:34" x14ac:dyDescent="0.35">
      <c r="B11" t="s">
        <v>108</v>
      </c>
      <c r="C11" s="28">
        <v>1</v>
      </c>
      <c r="D11" s="23">
        <v>0.25972222222222224</v>
      </c>
      <c r="E11" s="23">
        <f t="shared" si="18"/>
        <v>4.8611111111111494E-3</v>
      </c>
      <c r="F11" s="23">
        <f>VLOOKUP(TrCeib11815[[#This Row],[HORA_INI]],Ruta1[[HORA]:[iD]],5,TRUE)</f>
        <v>4.8611111111111112E-3</v>
      </c>
      <c r="G11" s="23">
        <f t="shared" si="0"/>
        <v>2.4305555555555556E-2</v>
      </c>
      <c r="H11" s="23">
        <f t="shared" si="19"/>
        <v>0.28402777777777782</v>
      </c>
      <c r="I11" s="23">
        <f t="shared" si="20"/>
        <v>0</v>
      </c>
      <c r="J11" s="23"/>
      <c r="K11" s="23">
        <f t="shared" ref="K11:K27" si="23">+D11+I11</f>
        <v>0.25972222222222224</v>
      </c>
      <c r="L11" s="30">
        <f>(TrCeib11815[[#This Row],[HORA_FIN]]-TrCeib11815[[#This Row],[HORA_INI]])+TrCeib11815[[#This Row],[Tt_tex]]</f>
        <v>2.430555555555558E-2</v>
      </c>
      <c r="M11" s="22"/>
      <c r="O11" t="s">
        <v>109</v>
      </c>
      <c r="P11" s="28">
        <v>5</v>
      </c>
      <c r="Q11" s="23">
        <v>0.26944444444444443</v>
      </c>
      <c r="R11" s="23">
        <f t="shared" si="8"/>
        <v>4.8611111111110938E-3</v>
      </c>
      <c r="S11" s="23">
        <f>VLOOKUP(VeredaTr12916[[#This Row],[HORA_INI]],Ruta2[[HORA]:[iD]],5,TRUE)</f>
        <v>4.8611111111111112E-3</v>
      </c>
      <c r="T11" s="23">
        <f t="shared" si="3"/>
        <v>2.4305555555555556E-2</v>
      </c>
      <c r="U11" s="23">
        <f t="shared" si="21"/>
        <v>0.29375000000000001</v>
      </c>
      <c r="V11" s="23">
        <f t="shared" si="22"/>
        <v>0</v>
      </c>
      <c r="W11" s="23">
        <v>3.472222222222222E-3</v>
      </c>
      <c r="X11" s="23">
        <f t="shared" si="11"/>
        <v>0.26944444444444443</v>
      </c>
      <c r="Y11" s="30">
        <f>(U11-Q11+VeredaTr12916[[#This Row],[Tt_tex]])</f>
        <v>2.7777777777777804E-2</v>
      </c>
      <c r="AF11" s="61">
        <v>8</v>
      </c>
      <c r="AG11" s="70">
        <f>SUMIFS(TrCeib11815[T],TrCeib11815[BUS],AF11)+SUMIFS(VeredaTr12916[T],VeredaTr12916[BUS],AF11)</f>
        <v>0.38888888888888928</v>
      </c>
      <c r="AH11" t="s">
        <v>38</v>
      </c>
    </row>
    <row r="12" spans="1:34" x14ac:dyDescent="0.35">
      <c r="B12" t="s">
        <v>108</v>
      </c>
      <c r="C12" s="28">
        <v>2</v>
      </c>
      <c r="D12" s="23">
        <v>0.26458333333333334</v>
      </c>
      <c r="E12" s="23">
        <f t="shared" si="18"/>
        <v>4.8611111111110938E-3</v>
      </c>
      <c r="F12" s="23">
        <f>VLOOKUP(TrCeib11815[[#This Row],[HORA_INI]],Ruta1[[HORA]:[iD]],5,TRUE)</f>
        <v>4.8611111111111112E-3</v>
      </c>
      <c r="G12" s="23">
        <f t="shared" si="0"/>
        <v>2.4305555555555556E-2</v>
      </c>
      <c r="H12" s="23">
        <f t="shared" si="19"/>
        <v>0.28888888888888892</v>
      </c>
      <c r="I12" s="23">
        <f t="shared" si="20"/>
        <v>0</v>
      </c>
      <c r="J12" s="23"/>
      <c r="K12" s="23">
        <f t="shared" si="23"/>
        <v>0.26458333333333334</v>
      </c>
      <c r="L12" s="30">
        <f>(TrCeib11815[[#This Row],[HORA_FIN]]-TrCeib11815[[#This Row],[HORA_INI]])+TrCeib11815[[#This Row],[Tt_tex]]</f>
        <v>2.430555555555558E-2</v>
      </c>
      <c r="M12" s="22"/>
      <c r="O12" t="s">
        <v>109</v>
      </c>
      <c r="P12" s="28">
        <v>6</v>
      </c>
      <c r="Q12" s="23">
        <v>0.27430555555555558</v>
      </c>
      <c r="R12" s="23">
        <f t="shared" si="8"/>
        <v>4.8611111111111494E-3</v>
      </c>
      <c r="S12" s="23">
        <f>VLOOKUP(VeredaTr12916[[#This Row],[HORA_INI]],Ruta2[[HORA]:[iD]],5,TRUE)</f>
        <v>4.8611111111111112E-3</v>
      </c>
      <c r="T12" s="23">
        <f t="shared" si="3"/>
        <v>2.4305555555555556E-2</v>
      </c>
      <c r="U12" s="23">
        <f t="shared" si="21"/>
        <v>0.29861111111111116</v>
      </c>
      <c r="V12" s="23">
        <f t="shared" si="22"/>
        <v>0</v>
      </c>
      <c r="W12" s="23"/>
      <c r="X12" s="23">
        <f t="shared" si="11"/>
        <v>0.27430555555555558</v>
      </c>
      <c r="Y12" s="30">
        <f>(U12-Q12+VeredaTr12916[[#This Row],[Tt_tex]])</f>
        <v>2.430555555555558E-2</v>
      </c>
      <c r="AF12" s="72">
        <v>9</v>
      </c>
      <c r="AG12" s="71">
        <f>SUMIFS(TrCeib11815[T],TrCeib11815[BUS],AF12)+SUMIFS(VeredaTr12916[T],VeredaTr12916[BUS],AF12)</f>
        <v>0.3645833333333337</v>
      </c>
      <c r="AH12" t="s">
        <v>37</v>
      </c>
    </row>
    <row r="13" spans="1:34" x14ac:dyDescent="0.35">
      <c r="B13" t="s">
        <v>108</v>
      </c>
      <c r="C13" s="28">
        <v>8</v>
      </c>
      <c r="D13" s="23">
        <v>0.26944444444444443</v>
      </c>
      <c r="E13" s="23">
        <f t="shared" ref="E13:E14" si="24">D13-D12</f>
        <v>4.8611111111110938E-3</v>
      </c>
      <c r="F13" s="23">
        <f>VLOOKUP(TrCeib11815[[#This Row],[HORA_INI]],Ruta1[[HORA]:[iD]],5,TRUE)</f>
        <v>4.8611111111111112E-3</v>
      </c>
      <c r="G13" s="23">
        <f t="shared" si="0"/>
        <v>2.4305555555555556E-2</v>
      </c>
      <c r="H13" s="23">
        <f t="shared" ref="H13:H14" si="25">D13+G13</f>
        <v>0.29375000000000001</v>
      </c>
      <c r="I13" s="23">
        <f t="shared" ref="I13:I14" si="26">+(D12+F13)-D13</f>
        <v>0</v>
      </c>
      <c r="J13" s="73"/>
      <c r="K13" s="73">
        <f>+D13+I13</f>
        <v>0.26944444444444443</v>
      </c>
      <c r="L13" s="30">
        <f>(TrCeib11815[[#This Row],[HORA_FIN]]-TrCeib11815[[#This Row],[HORA_INI]])+TrCeib11815[[#This Row],[Tt_tex]]</f>
        <v>2.430555555555558E-2</v>
      </c>
      <c r="M13" s="22"/>
      <c r="O13" t="s">
        <v>109</v>
      </c>
      <c r="P13" s="28">
        <v>7</v>
      </c>
      <c r="Q13" s="23">
        <v>0.27916666666666667</v>
      </c>
      <c r="R13" s="23">
        <f t="shared" si="8"/>
        <v>4.8611111111110938E-3</v>
      </c>
      <c r="S13" s="23">
        <f>VLOOKUP(VeredaTr12916[[#This Row],[HORA_INI]],Ruta2[[HORA]:[iD]],5,TRUE)</f>
        <v>4.8611111111111112E-3</v>
      </c>
      <c r="T13" s="23">
        <f t="shared" si="3"/>
        <v>2.4305555555555556E-2</v>
      </c>
      <c r="U13" s="23">
        <f t="shared" si="21"/>
        <v>0.30347222222222225</v>
      </c>
      <c r="V13" s="23">
        <f t="shared" si="22"/>
        <v>0</v>
      </c>
      <c r="W13" s="23"/>
      <c r="X13" s="23">
        <f t="shared" si="11"/>
        <v>0.27916666666666667</v>
      </c>
      <c r="Y13" s="30">
        <f>(U13-Q13+VeredaTr12916[[#This Row],[Tt_tex]])</f>
        <v>2.430555555555558E-2</v>
      </c>
      <c r="AF13" s="61">
        <v>10</v>
      </c>
      <c r="AG13" s="70">
        <f>SUMIFS(TrCeib11815[T],TrCeib11815[BUS],AF13)+SUMIFS(VeredaTr12916[T],VeredaTr12916[BUS],AF13)</f>
        <v>0.53819444444444497</v>
      </c>
      <c r="AH13" t="s">
        <v>38</v>
      </c>
    </row>
    <row r="14" spans="1:34" x14ac:dyDescent="0.35">
      <c r="B14" t="s">
        <v>108</v>
      </c>
      <c r="C14" s="28">
        <v>3</v>
      </c>
      <c r="D14" s="23">
        <v>0.27430555555555558</v>
      </c>
      <c r="E14" s="23">
        <f t="shared" si="24"/>
        <v>4.8611111111111494E-3</v>
      </c>
      <c r="F14" s="23">
        <f>VLOOKUP(TrCeib11815[[#This Row],[HORA_INI]],Ruta1[[HORA]:[iD]],5,TRUE)</f>
        <v>4.8611111111111112E-3</v>
      </c>
      <c r="G14" s="23">
        <f t="shared" si="0"/>
        <v>2.4305555555555556E-2</v>
      </c>
      <c r="H14" s="23">
        <f t="shared" si="25"/>
        <v>0.29861111111111116</v>
      </c>
      <c r="I14" s="23">
        <f t="shared" si="26"/>
        <v>0</v>
      </c>
      <c r="J14" s="23"/>
      <c r="K14" s="23">
        <f>+D14+I14</f>
        <v>0.27430555555555558</v>
      </c>
      <c r="L14" s="30">
        <f>(TrCeib11815[[#This Row],[HORA_FIN]]-TrCeib11815[[#This Row],[HORA_INI]])+TrCeib11815[[#This Row],[Tt_tex]]</f>
        <v>2.430555555555558E-2</v>
      </c>
      <c r="M14" s="40"/>
      <c r="O14" t="s">
        <v>109</v>
      </c>
      <c r="P14" s="28">
        <v>1</v>
      </c>
      <c r="Q14" s="23">
        <v>0.28402777777777782</v>
      </c>
      <c r="R14" s="23">
        <f t="shared" ref="R14:R69" si="27">Q14-Q13</f>
        <v>4.8611111111111494E-3</v>
      </c>
      <c r="S14" s="23">
        <f>VLOOKUP(VeredaTr12916[[#This Row],[HORA_INI]],Ruta2[[HORA]:[iD]],5,TRUE)</f>
        <v>4.8611111111111112E-3</v>
      </c>
      <c r="T14" s="23">
        <f t="shared" si="3"/>
        <v>2.4305555555555556E-2</v>
      </c>
      <c r="U14" s="23">
        <f t="shared" ref="U14:U37" si="28">+Q14+T14</f>
        <v>0.3083333333333334</v>
      </c>
      <c r="V14" s="23">
        <f t="shared" ref="V14:V37" si="29">+(Q13+S14)-Q14</f>
        <v>0</v>
      </c>
      <c r="W14" s="23"/>
      <c r="X14" s="23">
        <f t="shared" si="11"/>
        <v>0.28402777777777782</v>
      </c>
      <c r="Y14" s="30">
        <f>(U14-Q14+VeredaTr12916[[#This Row],[Tt_tex]])</f>
        <v>2.430555555555558E-2</v>
      </c>
      <c r="AF14" s="7">
        <v>11</v>
      </c>
      <c r="AG14" s="25">
        <f>SUMIFS(TrCeib11815[T],TrCeib11815[BUS],AF14)+SUMIFS(VeredaTr12916[T],VeredaTr12916[BUS],AF14)</f>
        <v>0</v>
      </c>
      <c r="AH14" t="s">
        <v>37</v>
      </c>
    </row>
    <row r="15" spans="1:34" x14ac:dyDescent="0.35">
      <c r="B15" t="s">
        <v>108</v>
      </c>
      <c r="C15" s="28">
        <v>9</v>
      </c>
      <c r="D15" s="23">
        <v>0.27916666666666667</v>
      </c>
      <c r="E15" s="23">
        <f t="shared" ref="E15:E17" si="30">D15-D14</f>
        <v>4.8611111111110938E-3</v>
      </c>
      <c r="F15" s="23">
        <f>VLOOKUP(TrCeib11815[[#This Row],[HORA_INI]],Ruta1[[HORA]:[iD]],5,TRUE)</f>
        <v>4.8611111111111112E-3</v>
      </c>
      <c r="G15" s="23">
        <f t="shared" si="0"/>
        <v>2.4305555555555556E-2</v>
      </c>
      <c r="H15" s="23">
        <f t="shared" ref="H15:H17" si="31">D15+G15</f>
        <v>0.30347222222222225</v>
      </c>
      <c r="I15" s="23">
        <f t="shared" ref="I15:I17" si="32">+(D14+F15)-D15</f>
        <v>0</v>
      </c>
      <c r="J15" s="73"/>
      <c r="K15" s="73">
        <f>+D15+I15</f>
        <v>0.27916666666666667</v>
      </c>
      <c r="L15" s="30">
        <f>(TrCeib11815[[#This Row],[HORA_FIN]]-TrCeib11815[[#This Row],[HORA_INI]])+TrCeib11815[[#This Row],[Tt_tex]]</f>
        <v>2.430555555555558E-2</v>
      </c>
      <c r="M15" s="22"/>
      <c r="O15" t="s">
        <v>109</v>
      </c>
      <c r="P15" s="28">
        <v>2</v>
      </c>
      <c r="Q15" s="23">
        <v>0.28888888888888892</v>
      </c>
      <c r="R15" s="23">
        <f t="shared" si="27"/>
        <v>4.8611111111110938E-3</v>
      </c>
      <c r="S15" s="23">
        <f>VLOOKUP(VeredaTr12916[[#This Row],[HORA_INI]],Ruta2[[HORA]:[iD]],5,TRUE)</f>
        <v>4.8611111111111112E-3</v>
      </c>
      <c r="T15" s="23">
        <f t="shared" si="3"/>
        <v>2.4305555555555556E-2</v>
      </c>
      <c r="U15" s="23">
        <f t="shared" si="28"/>
        <v>0.3131944444444445</v>
      </c>
      <c r="V15" s="23">
        <f t="shared" si="29"/>
        <v>0</v>
      </c>
      <c r="W15" s="23"/>
      <c r="X15" s="23">
        <f>+Q15+V15</f>
        <v>0.28888888888888892</v>
      </c>
      <c r="Y15" s="30">
        <f>(U15-Q15+VeredaTr12916[[#This Row],[Tt_tex]])</f>
        <v>2.430555555555558E-2</v>
      </c>
      <c r="AF15" s="7">
        <v>12</v>
      </c>
      <c r="AG15" s="25">
        <f>SUMIFS(TrCeib11815[T],TrCeib11815[BUS],AF15)+SUMIFS(VeredaTr12916[T],VeredaTr12916[BUS],AF15)</f>
        <v>0</v>
      </c>
      <c r="AH15" t="s">
        <v>38</v>
      </c>
    </row>
    <row r="16" spans="1:34" x14ac:dyDescent="0.35">
      <c r="B16" t="s">
        <v>108</v>
      </c>
      <c r="C16" s="28">
        <v>4</v>
      </c>
      <c r="D16" s="23">
        <v>0.28402777777777782</v>
      </c>
      <c r="E16" s="23">
        <f t="shared" si="30"/>
        <v>4.8611111111111494E-3</v>
      </c>
      <c r="F16" s="23">
        <f>VLOOKUP(TrCeib11815[[#This Row],[HORA_INI]],Ruta1[[HORA]:[iD]],5,TRUE)</f>
        <v>4.8611111111111112E-3</v>
      </c>
      <c r="G16" s="23">
        <f t="shared" si="0"/>
        <v>2.4305555555555556E-2</v>
      </c>
      <c r="H16" s="23">
        <f t="shared" si="31"/>
        <v>0.3083333333333334</v>
      </c>
      <c r="I16" s="23">
        <f t="shared" si="32"/>
        <v>0</v>
      </c>
      <c r="J16" s="23"/>
      <c r="K16" s="23">
        <f>+D16+I16</f>
        <v>0.28402777777777782</v>
      </c>
      <c r="L16" s="30">
        <f>(TrCeib11815[[#This Row],[HORA_FIN]]-TrCeib11815[[#This Row],[HORA_INI]])+TrCeib11815[[#This Row],[Tt_tex]]</f>
        <v>2.430555555555558E-2</v>
      </c>
      <c r="M16" s="22"/>
      <c r="O16" t="s">
        <v>109</v>
      </c>
      <c r="P16" s="28">
        <v>8</v>
      </c>
      <c r="Q16" s="23">
        <v>0.29375000000000001</v>
      </c>
      <c r="R16" s="23">
        <f t="shared" si="27"/>
        <v>4.8611111111110938E-3</v>
      </c>
      <c r="S16" s="23">
        <f>VLOOKUP(VeredaTr12916[[#This Row],[HORA_INI]],Ruta2[[HORA]:[iD]],5,TRUE)</f>
        <v>4.8611111111111112E-3</v>
      </c>
      <c r="T16" s="23">
        <f t="shared" si="3"/>
        <v>2.4305555555555556E-2</v>
      </c>
      <c r="U16" s="23">
        <f t="shared" si="28"/>
        <v>0.31805555555555559</v>
      </c>
      <c r="V16" s="23">
        <f t="shared" si="29"/>
        <v>0</v>
      </c>
      <c r="W16" s="23"/>
      <c r="X16" s="23">
        <f t="shared" ref="X16:X24" si="33">+Q16+V16</f>
        <v>0.29375000000000001</v>
      </c>
      <c r="Y16" s="30">
        <f>(U16-Q16+VeredaTr12916[[#This Row],[Tt_tex]])</f>
        <v>2.430555555555558E-2</v>
      </c>
      <c r="AF16" s="7">
        <v>13</v>
      </c>
      <c r="AG16" s="25">
        <f>SUMIFS(TrCeib11815[T],TrCeib11815[BUS],AF16)+SUMIFS(VeredaTr12916[T],VeredaTr12916[BUS],AF16)</f>
        <v>0</v>
      </c>
      <c r="AH16" t="s">
        <v>37</v>
      </c>
    </row>
    <row r="17" spans="2:34" x14ac:dyDescent="0.35">
      <c r="B17" t="s">
        <v>108</v>
      </c>
      <c r="C17" s="28">
        <v>10</v>
      </c>
      <c r="D17" s="23">
        <v>0.28888888888888892</v>
      </c>
      <c r="E17" s="23">
        <f t="shared" si="30"/>
        <v>4.8611111111110938E-3</v>
      </c>
      <c r="F17" s="23">
        <f>VLOOKUP(TrCeib11815[[#This Row],[HORA_INI]],Ruta1[[HORA]:[iD]],5,TRUE)</f>
        <v>4.8611111111111112E-3</v>
      </c>
      <c r="G17" s="23">
        <f t="shared" si="0"/>
        <v>2.4305555555555556E-2</v>
      </c>
      <c r="H17" s="23">
        <f t="shared" si="31"/>
        <v>0.3131944444444445</v>
      </c>
      <c r="I17" s="23">
        <f t="shared" si="32"/>
        <v>0</v>
      </c>
      <c r="J17" s="23"/>
      <c r="K17" s="23">
        <f t="shared" si="23"/>
        <v>0.28888888888888892</v>
      </c>
      <c r="L17" s="30">
        <f>(TrCeib11815[[#This Row],[HORA_FIN]]-TrCeib11815[[#This Row],[HORA_INI]])+TrCeib11815[[#This Row],[Tt_tex]]</f>
        <v>2.430555555555558E-2</v>
      </c>
      <c r="M17" s="22"/>
      <c r="O17" t="s">
        <v>109</v>
      </c>
      <c r="P17" s="28">
        <v>3</v>
      </c>
      <c r="Q17" s="23">
        <v>0.29861111111111116</v>
      </c>
      <c r="R17" s="23">
        <f t="shared" si="27"/>
        <v>4.8611111111111494E-3</v>
      </c>
      <c r="S17" s="23">
        <f>VLOOKUP(VeredaTr12916[[#This Row],[HORA_INI]],Ruta2[[HORA]:[iD]],5,TRUE)</f>
        <v>4.8611111111111112E-3</v>
      </c>
      <c r="T17" s="23">
        <f t="shared" si="3"/>
        <v>2.4305555555555556E-2</v>
      </c>
      <c r="U17" s="23">
        <f t="shared" si="28"/>
        <v>0.32291666666666674</v>
      </c>
      <c r="V17" s="23">
        <f t="shared" si="29"/>
        <v>0</v>
      </c>
      <c r="W17" s="23"/>
      <c r="X17" s="23">
        <f t="shared" si="33"/>
        <v>0.29861111111111116</v>
      </c>
      <c r="Y17" s="30">
        <f>(U17-Q17+VeredaTr12916[[#This Row],[Tt_tex]])</f>
        <v>2.430555555555558E-2</v>
      </c>
      <c r="AF17" s="7">
        <v>14</v>
      </c>
      <c r="AG17" s="25">
        <f>SUMIFS(TrCeib11815[T],TrCeib11815[BUS],AF17)+SUMIFS(VeredaTr12916[T],VeredaTr12916[BUS],AF17)</f>
        <v>0</v>
      </c>
      <c r="AH17" t="s">
        <v>38</v>
      </c>
    </row>
    <row r="18" spans="2:34" x14ac:dyDescent="0.35">
      <c r="B18" t="s">
        <v>108</v>
      </c>
      <c r="C18" s="28">
        <v>5</v>
      </c>
      <c r="D18" s="23">
        <v>0.29375000000000001</v>
      </c>
      <c r="E18" s="23">
        <f t="shared" ref="E18:E20" si="34">D18-D17</f>
        <v>4.8611111111110938E-3</v>
      </c>
      <c r="F18" s="23">
        <f>VLOOKUP(TrCeib11815[[#This Row],[HORA_INI]],Ruta1[[HORA]:[iD]],5,TRUE)</f>
        <v>4.8611111111111112E-3</v>
      </c>
      <c r="G18" s="23">
        <f t="shared" si="0"/>
        <v>2.4305555555555556E-2</v>
      </c>
      <c r="H18" s="23">
        <f t="shared" ref="H18:H20" si="35">D18+G18</f>
        <v>0.31805555555555559</v>
      </c>
      <c r="I18" s="23">
        <f t="shared" ref="I18:I20" si="36">+(D17+F18)-D18</f>
        <v>0</v>
      </c>
      <c r="J18" s="73"/>
      <c r="K18" s="73">
        <f>+D18+I18</f>
        <v>0.29375000000000001</v>
      </c>
      <c r="L18" s="30">
        <f>(TrCeib11815[[#This Row],[HORA_FIN]]-TrCeib11815[[#This Row],[HORA_INI]])+TrCeib11815[[#This Row],[Tt_tex]]</f>
        <v>2.430555555555558E-2</v>
      </c>
      <c r="M18" s="40"/>
      <c r="O18" t="s">
        <v>109</v>
      </c>
      <c r="P18" s="28">
        <v>9</v>
      </c>
      <c r="Q18" s="23">
        <v>0.30347222222222225</v>
      </c>
      <c r="R18" s="23">
        <f t="shared" si="27"/>
        <v>4.8611111111110938E-3</v>
      </c>
      <c r="S18" s="23">
        <f>VLOOKUP(VeredaTr12916[[#This Row],[HORA_INI]],Ruta2[[HORA]:[iD]],5,TRUE)</f>
        <v>4.8611111111111112E-3</v>
      </c>
      <c r="T18" s="23">
        <f t="shared" si="3"/>
        <v>2.4305555555555556E-2</v>
      </c>
      <c r="U18" s="23">
        <f t="shared" si="28"/>
        <v>0.32777777777777783</v>
      </c>
      <c r="V18" s="23">
        <f t="shared" si="29"/>
        <v>0</v>
      </c>
      <c r="W18" s="23"/>
      <c r="X18" s="23">
        <f t="shared" si="33"/>
        <v>0.30347222222222225</v>
      </c>
      <c r="Y18" s="30">
        <f>(U18-Q18+VeredaTr12916[[#This Row],[Tt_tex]])</f>
        <v>2.430555555555558E-2</v>
      </c>
      <c r="AF18" s="7">
        <v>15</v>
      </c>
      <c r="AG18" s="25">
        <f>SUMIFS(TrCeib11815[T],TrCeib11815[BUS],AF18)+SUMIFS(VeredaTr12916[T],VeredaTr12916[BUS],AF18)</f>
        <v>0</v>
      </c>
    </row>
    <row r="19" spans="2:34" x14ac:dyDescent="0.35">
      <c r="B19" t="s">
        <v>108</v>
      </c>
      <c r="C19" s="28">
        <v>6</v>
      </c>
      <c r="D19" s="23">
        <v>0.29861111111111116</v>
      </c>
      <c r="E19" s="23">
        <f t="shared" si="34"/>
        <v>4.8611111111111494E-3</v>
      </c>
      <c r="F19" s="23">
        <f>VLOOKUP(TrCeib11815[[#This Row],[HORA_INI]],Ruta1[[HORA]:[iD]],5,TRUE)</f>
        <v>4.8611111111111112E-3</v>
      </c>
      <c r="G19" s="23">
        <f t="shared" si="0"/>
        <v>2.4305555555555556E-2</v>
      </c>
      <c r="H19" s="23">
        <f t="shared" si="35"/>
        <v>0.32291666666666674</v>
      </c>
      <c r="I19" s="23">
        <f t="shared" si="36"/>
        <v>0</v>
      </c>
      <c r="J19" s="23"/>
      <c r="K19" s="23">
        <f>+D19+I19</f>
        <v>0.29861111111111116</v>
      </c>
      <c r="L19" s="30">
        <f>(TrCeib11815[[#This Row],[HORA_FIN]]-TrCeib11815[[#This Row],[HORA_INI]])+TrCeib11815[[#This Row],[Tt_tex]]</f>
        <v>2.430555555555558E-2</v>
      </c>
      <c r="M19" s="40"/>
      <c r="O19" t="s">
        <v>109</v>
      </c>
      <c r="P19" s="28">
        <v>4</v>
      </c>
      <c r="Q19" s="23">
        <v>0.3083333333333334</v>
      </c>
      <c r="R19" s="23">
        <f t="shared" si="27"/>
        <v>4.8611111111111494E-3</v>
      </c>
      <c r="S19" s="23">
        <f>VLOOKUP(VeredaTr12916[[#This Row],[HORA_INI]],Ruta2[[HORA]:[iD]],5,TRUE)</f>
        <v>4.8611111111111112E-3</v>
      </c>
      <c r="T19" s="23">
        <f t="shared" si="3"/>
        <v>2.4305555555555556E-2</v>
      </c>
      <c r="U19" s="23">
        <f t="shared" si="28"/>
        <v>0.33263888888888898</v>
      </c>
      <c r="V19" s="23">
        <f t="shared" si="29"/>
        <v>0</v>
      </c>
      <c r="W19" s="23"/>
      <c r="X19" s="23">
        <f t="shared" si="33"/>
        <v>0.3083333333333334</v>
      </c>
      <c r="Y19" s="30">
        <f>(U19-Q19+VeredaTr12916[[#This Row],[Tt_tex]])</f>
        <v>2.430555555555558E-2</v>
      </c>
      <c r="AF19" s="7">
        <v>16</v>
      </c>
      <c r="AG19" s="25">
        <f>SUMIFS(TrCeib11815[T],TrCeib11815[BUS],AF19)+SUMIFS(VeredaTr12916[T],VeredaTr12916[BUS],AF19)</f>
        <v>0</v>
      </c>
    </row>
    <row r="20" spans="2:34" x14ac:dyDescent="0.35">
      <c r="B20" t="s">
        <v>108</v>
      </c>
      <c r="C20" s="28">
        <v>7</v>
      </c>
      <c r="D20" s="23">
        <v>0.30347222222222225</v>
      </c>
      <c r="E20" s="23">
        <f t="shared" si="34"/>
        <v>4.8611111111110938E-3</v>
      </c>
      <c r="F20" s="23">
        <f>VLOOKUP(TrCeib11815[[#This Row],[HORA_INI]],Ruta1[[HORA]:[iD]],5,TRUE)</f>
        <v>4.8611111111111112E-3</v>
      </c>
      <c r="G20" s="23">
        <f t="shared" si="0"/>
        <v>2.4305555555555556E-2</v>
      </c>
      <c r="H20" s="23">
        <f t="shared" si="35"/>
        <v>0.32777777777777783</v>
      </c>
      <c r="I20" s="23">
        <f t="shared" si="36"/>
        <v>0</v>
      </c>
      <c r="J20" s="23"/>
      <c r="K20" s="23">
        <f>+D20+I20</f>
        <v>0.30347222222222225</v>
      </c>
      <c r="L20" s="30">
        <f>(TrCeib11815[[#This Row],[HORA_FIN]]-TrCeib11815[[#This Row],[HORA_INI]])+TrCeib11815[[#This Row],[Tt_tex]]</f>
        <v>2.430555555555558E-2</v>
      </c>
      <c r="M20" s="40"/>
      <c r="O20" t="s">
        <v>109</v>
      </c>
      <c r="P20" s="28">
        <v>10</v>
      </c>
      <c r="Q20" s="23">
        <v>0.3131944444444445</v>
      </c>
      <c r="R20" s="23">
        <f t="shared" si="27"/>
        <v>4.8611111111110938E-3</v>
      </c>
      <c r="S20" s="23">
        <f>VLOOKUP(VeredaTr12916[[#This Row],[HORA_INI]],Ruta2[[HORA]:[iD]],5,TRUE)</f>
        <v>4.8611111111111112E-3</v>
      </c>
      <c r="T20" s="23">
        <f t="shared" si="3"/>
        <v>2.4305555555555556E-2</v>
      </c>
      <c r="U20" s="23">
        <f t="shared" si="28"/>
        <v>0.33750000000000008</v>
      </c>
      <c r="V20" s="23">
        <f t="shared" si="29"/>
        <v>0</v>
      </c>
      <c r="W20" s="23"/>
      <c r="X20" s="23">
        <f t="shared" si="33"/>
        <v>0.3131944444444445</v>
      </c>
      <c r="Y20" s="30">
        <f>(U20-Q20+VeredaTr12916[[#This Row],[Tt_tex]])</f>
        <v>2.430555555555558E-2</v>
      </c>
      <c r="AF20" s="7">
        <v>17</v>
      </c>
      <c r="AG20" s="25">
        <f>SUMIFS(TrCeib11815[T],TrCeib11815[BUS],AF20)+SUMIFS(VeredaTr12916[T],VeredaTr12916[BUS],AF20)</f>
        <v>0</v>
      </c>
    </row>
    <row r="21" spans="2:34" x14ac:dyDescent="0.35">
      <c r="B21" t="s">
        <v>108</v>
      </c>
      <c r="C21" s="28">
        <v>1</v>
      </c>
      <c r="D21" s="23">
        <v>0.3083333333333334</v>
      </c>
      <c r="E21" s="23">
        <f t="shared" ref="E21" si="37">D21-D20</f>
        <v>4.8611111111111494E-3</v>
      </c>
      <c r="F21" s="23">
        <f>VLOOKUP(TrCeib11815[[#This Row],[HORA_INI]],Ruta1[[HORA]:[iD]],5,TRUE)</f>
        <v>4.8611111111111112E-3</v>
      </c>
      <c r="G21" s="23">
        <f t="shared" si="0"/>
        <v>2.4305555555555556E-2</v>
      </c>
      <c r="H21" s="23">
        <f t="shared" ref="H21" si="38">D21+G21</f>
        <v>0.33263888888888898</v>
      </c>
      <c r="I21" s="23">
        <f t="shared" ref="I21" si="39">+(D20+F21)-D21</f>
        <v>0</v>
      </c>
      <c r="J21" s="23"/>
      <c r="K21" s="23">
        <f>+D21+I21</f>
        <v>0.3083333333333334</v>
      </c>
      <c r="L21" s="30">
        <f>(TrCeib11815[[#This Row],[HORA_FIN]]-TrCeib11815[[#This Row],[HORA_INI]])+TrCeib11815[[#This Row],[Tt_tex]]</f>
        <v>2.430555555555558E-2</v>
      </c>
      <c r="M21" s="40"/>
      <c r="O21" t="s">
        <v>109</v>
      </c>
      <c r="P21" s="28">
        <v>5</v>
      </c>
      <c r="Q21" s="23">
        <v>0.31805555555555559</v>
      </c>
      <c r="R21" s="23">
        <f t="shared" si="27"/>
        <v>4.8611111111110938E-3</v>
      </c>
      <c r="S21" s="23">
        <f>VLOOKUP(VeredaTr12916[[#This Row],[HORA_INI]],Ruta2[[HORA]:[iD]],5,TRUE)</f>
        <v>4.8611111111111112E-3</v>
      </c>
      <c r="T21" s="23">
        <f t="shared" si="3"/>
        <v>2.4305555555555556E-2</v>
      </c>
      <c r="U21" s="23">
        <f t="shared" si="28"/>
        <v>0.34236111111111117</v>
      </c>
      <c r="V21" s="23">
        <f t="shared" si="29"/>
        <v>0</v>
      </c>
      <c r="W21" s="23"/>
      <c r="X21" s="23">
        <f t="shared" si="33"/>
        <v>0.31805555555555559</v>
      </c>
      <c r="Y21" s="30">
        <f>(U21-Q21+VeredaTr12916[[#This Row],[Tt_tex]])</f>
        <v>2.430555555555558E-2</v>
      </c>
      <c r="AF21" s="7">
        <v>18</v>
      </c>
      <c r="AG21" s="25">
        <f>SUMIFS(TrCeib11815[T],TrCeib11815[BUS],AF21)+SUMIFS(VeredaTr12916[T],VeredaTr12916[BUS],AF21)</f>
        <v>0</v>
      </c>
    </row>
    <row r="22" spans="2:34" x14ac:dyDescent="0.35">
      <c r="B22" t="s">
        <v>108</v>
      </c>
      <c r="C22" s="28">
        <v>2</v>
      </c>
      <c r="D22" s="23">
        <v>0.3131944444444445</v>
      </c>
      <c r="E22" s="23">
        <f t="shared" ref="E22:E43" si="40">D22-D21</f>
        <v>4.8611111111110938E-3</v>
      </c>
      <c r="F22" s="23">
        <f>VLOOKUP(TrCeib11815[[#This Row],[HORA_INI]],Ruta1[[HORA]:[iD]],5,TRUE)</f>
        <v>4.8611111111111112E-3</v>
      </c>
      <c r="G22" s="23">
        <f t="shared" si="0"/>
        <v>2.4305555555555556E-2</v>
      </c>
      <c r="H22" s="23">
        <f t="shared" ref="H22:H43" si="41">D22+G22</f>
        <v>0.33750000000000008</v>
      </c>
      <c r="I22" s="23">
        <f t="shared" ref="I22:I43" si="42">+(D21+F22)-D22</f>
        <v>0</v>
      </c>
      <c r="J22" s="23"/>
      <c r="K22" s="23">
        <f t="shared" si="23"/>
        <v>0.3131944444444445</v>
      </c>
      <c r="L22" s="30">
        <f>(TrCeib11815[[#This Row],[HORA_FIN]]-TrCeib11815[[#This Row],[HORA_INI]])+TrCeib11815[[#This Row],[Tt_tex]]</f>
        <v>2.430555555555558E-2</v>
      </c>
      <c r="M22" s="40"/>
      <c r="O22" t="s">
        <v>109</v>
      </c>
      <c r="P22" s="28">
        <v>6</v>
      </c>
      <c r="Q22" s="23">
        <v>0.32291666666666674</v>
      </c>
      <c r="R22" s="23">
        <f t="shared" si="27"/>
        <v>4.8611111111111494E-3</v>
      </c>
      <c r="S22" s="23">
        <f>VLOOKUP(VeredaTr12916[[#This Row],[HORA_INI]],Ruta2[[HORA]:[iD]],5,TRUE)</f>
        <v>4.8611111111111112E-3</v>
      </c>
      <c r="T22" s="23">
        <f t="shared" si="3"/>
        <v>2.4305555555555556E-2</v>
      </c>
      <c r="U22" s="23">
        <f t="shared" si="28"/>
        <v>0.34722222222222232</v>
      </c>
      <c r="V22" s="23">
        <f t="shared" si="29"/>
        <v>0</v>
      </c>
      <c r="W22" s="23"/>
      <c r="X22" s="23">
        <f t="shared" si="33"/>
        <v>0.32291666666666674</v>
      </c>
      <c r="Y22" s="30">
        <f>(U22-Q22+VeredaTr12916[[#This Row],[Tt_tex]])</f>
        <v>2.430555555555558E-2</v>
      </c>
      <c r="AF22" s="7">
        <v>19</v>
      </c>
      <c r="AG22" s="25">
        <f>SUMIFS(TrCeib11815[T],TrCeib11815[BUS],AF22)+SUMIFS(VeredaTr12916[T],VeredaTr12916[BUS],AF22)</f>
        <v>0</v>
      </c>
    </row>
    <row r="23" spans="2:34" x14ac:dyDescent="0.35">
      <c r="B23" t="s">
        <v>108</v>
      </c>
      <c r="C23" s="28">
        <v>8</v>
      </c>
      <c r="D23" s="23">
        <v>0.31805555555555559</v>
      </c>
      <c r="E23" s="23">
        <f t="shared" si="40"/>
        <v>4.8611111111110938E-3</v>
      </c>
      <c r="F23" s="23">
        <f>VLOOKUP(TrCeib11815[[#This Row],[HORA_INI]],Ruta1[[HORA]:[iD]],5,TRUE)</f>
        <v>4.8611111111111112E-3</v>
      </c>
      <c r="G23" s="23">
        <f t="shared" si="0"/>
        <v>2.4305555555555556E-2</v>
      </c>
      <c r="H23" s="23">
        <f t="shared" si="41"/>
        <v>0.34236111111111117</v>
      </c>
      <c r="I23" s="23">
        <f t="shared" si="42"/>
        <v>0</v>
      </c>
      <c r="J23" s="23"/>
      <c r="K23" s="23">
        <f>+D23+I23</f>
        <v>0.31805555555555559</v>
      </c>
      <c r="L23" s="30">
        <f>(TrCeib11815[[#This Row],[HORA_FIN]]-TrCeib11815[[#This Row],[HORA_INI]])+TrCeib11815[[#This Row],[Tt_tex]]</f>
        <v>2.430555555555558E-2</v>
      </c>
      <c r="M23" s="40"/>
      <c r="O23" t="s">
        <v>109</v>
      </c>
      <c r="P23" s="28">
        <v>7</v>
      </c>
      <c r="Q23" s="23">
        <v>0.32777777777777783</v>
      </c>
      <c r="R23" s="23">
        <f t="shared" si="27"/>
        <v>4.8611111111110938E-3</v>
      </c>
      <c r="S23" s="23">
        <f>VLOOKUP(VeredaTr12916[[#This Row],[HORA_INI]],Ruta2[[HORA]:[iD]],5,TRUE)</f>
        <v>4.8611111111111112E-3</v>
      </c>
      <c r="T23" s="23">
        <f t="shared" si="3"/>
        <v>2.4305555555555556E-2</v>
      </c>
      <c r="U23" s="23">
        <f t="shared" si="28"/>
        <v>0.35208333333333341</v>
      </c>
      <c r="V23" s="23">
        <f t="shared" si="29"/>
        <v>0</v>
      </c>
      <c r="W23" s="23"/>
      <c r="X23" s="23">
        <f t="shared" si="33"/>
        <v>0.32777777777777783</v>
      </c>
      <c r="Y23" s="30">
        <f>(U23-Q23+VeredaTr12916[[#This Row],[Tt_tex]])</f>
        <v>2.430555555555558E-2</v>
      </c>
      <c r="AF23" s="7">
        <v>20</v>
      </c>
      <c r="AG23" s="25">
        <f>SUMIFS(TrCeib11815[T],TrCeib11815[BUS],AF23)+SUMIFS(VeredaTr12916[T],VeredaTr12916[BUS],AF23)</f>
        <v>0</v>
      </c>
    </row>
    <row r="24" spans="2:34" x14ac:dyDescent="0.35">
      <c r="B24" t="s">
        <v>108</v>
      </c>
      <c r="C24" s="28">
        <v>3</v>
      </c>
      <c r="D24" s="23">
        <v>0.32291666666666674</v>
      </c>
      <c r="E24" s="23">
        <f t="shared" si="40"/>
        <v>4.8611111111111494E-3</v>
      </c>
      <c r="F24" s="23">
        <f>VLOOKUP(TrCeib11815[[#This Row],[HORA_INI]],Ruta1[[HORA]:[iD]],5,TRUE)</f>
        <v>4.8611111111111112E-3</v>
      </c>
      <c r="G24" s="23">
        <f t="shared" si="0"/>
        <v>2.4305555555555556E-2</v>
      </c>
      <c r="H24" s="23">
        <f t="shared" si="41"/>
        <v>0.34722222222222232</v>
      </c>
      <c r="I24" s="23">
        <f t="shared" si="42"/>
        <v>0</v>
      </c>
      <c r="J24" s="23"/>
      <c r="K24" s="23">
        <f t="shared" si="23"/>
        <v>0.32291666666666674</v>
      </c>
      <c r="L24" s="30">
        <f>(TrCeib11815[[#This Row],[HORA_FIN]]-TrCeib11815[[#This Row],[HORA_INI]])+TrCeib11815[[#This Row],[Tt_tex]]</f>
        <v>2.430555555555558E-2</v>
      </c>
      <c r="M24" s="40"/>
      <c r="O24" t="s">
        <v>109</v>
      </c>
      <c r="P24" s="28">
        <v>1</v>
      </c>
      <c r="Q24" s="23">
        <v>0.33263888888888898</v>
      </c>
      <c r="R24" s="23">
        <f t="shared" si="27"/>
        <v>4.8611111111111494E-3</v>
      </c>
      <c r="S24" s="23">
        <f>VLOOKUP(VeredaTr12916[[#This Row],[HORA_INI]],Ruta2[[HORA]:[iD]],5,TRUE)</f>
        <v>4.8611111111111112E-3</v>
      </c>
      <c r="T24" s="23">
        <f t="shared" si="3"/>
        <v>2.4305555555555556E-2</v>
      </c>
      <c r="U24" s="23">
        <f t="shared" si="28"/>
        <v>0.35694444444444456</v>
      </c>
      <c r="V24" s="23">
        <f t="shared" si="29"/>
        <v>0</v>
      </c>
      <c r="W24" s="23"/>
      <c r="X24" s="23">
        <f t="shared" si="33"/>
        <v>0.33263888888888898</v>
      </c>
      <c r="Y24" s="30">
        <f>(U24-Q24+VeredaTr12916[[#This Row],[Tt_tex]])</f>
        <v>2.430555555555558E-2</v>
      </c>
      <c r="AF24" s="7">
        <v>21</v>
      </c>
      <c r="AG24" s="25">
        <f>SUMIFS(TrCeib11815[T],TrCeib11815[BUS],AF24)+SUMIFS(VeredaTr12916[T],VeredaTr12916[BUS],AF24)</f>
        <v>0</v>
      </c>
    </row>
    <row r="25" spans="2:34" x14ac:dyDescent="0.35">
      <c r="B25" t="s">
        <v>108</v>
      </c>
      <c r="C25" s="28">
        <v>9</v>
      </c>
      <c r="D25" s="23">
        <v>0.32777777777777783</v>
      </c>
      <c r="E25" s="23">
        <f t="shared" si="40"/>
        <v>4.8611111111110938E-3</v>
      </c>
      <c r="F25" s="23">
        <f>VLOOKUP(TrCeib11815[[#This Row],[HORA_INI]],Ruta1[[HORA]:[iD]],5,TRUE)</f>
        <v>4.8611111111111112E-3</v>
      </c>
      <c r="G25" s="23">
        <f t="shared" si="0"/>
        <v>2.4305555555555556E-2</v>
      </c>
      <c r="H25" s="23">
        <f t="shared" si="41"/>
        <v>0.35208333333333341</v>
      </c>
      <c r="I25" s="23">
        <f t="shared" si="42"/>
        <v>0</v>
      </c>
      <c r="J25" s="23"/>
      <c r="K25" s="23">
        <f>+D25+I25</f>
        <v>0.32777777777777783</v>
      </c>
      <c r="L25" s="30">
        <f>(TrCeib11815[[#This Row],[HORA_FIN]]-TrCeib11815[[#This Row],[HORA_INI]])+TrCeib11815[[#This Row],[Tt_tex]]</f>
        <v>2.430555555555558E-2</v>
      </c>
      <c r="M25" s="40"/>
      <c r="O25" t="s">
        <v>109</v>
      </c>
      <c r="P25" s="28">
        <v>2</v>
      </c>
      <c r="Q25" s="23">
        <v>0.33750000000000008</v>
      </c>
      <c r="R25" s="23">
        <f t="shared" si="27"/>
        <v>4.8611111111110938E-3</v>
      </c>
      <c r="S25" s="23">
        <f>VLOOKUP(VeredaTr12916[[#This Row],[HORA_INI]],Ruta2[[HORA]:[iD]],5,TRUE)</f>
        <v>4.8611111111111112E-3</v>
      </c>
      <c r="T25" s="23">
        <f t="shared" si="3"/>
        <v>2.4305555555555556E-2</v>
      </c>
      <c r="U25" s="23">
        <f t="shared" si="28"/>
        <v>0.36180555555555566</v>
      </c>
      <c r="V25" s="23">
        <f t="shared" si="29"/>
        <v>0</v>
      </c>
      <c r="W25" s="23"/>
      <c r="X25" s="23">
        <f t="shared" ref="X25:X34" si="43">+Q25+V25</f>
        <v>0.33750000000000008</v>
      </c>
      <c r="Y25" s="30">
        <f>(U25-Q25+VeredaTr12916[[#This Row],[Tt_tex]])</f>
        <v>2.430555555555558E-2</v>
      </c>
      <c r="AF25" s="7">
        <v>22</v>
      </c>
      <c r="AG25" s="25">
        <f>SUMIFS(TrCeib11815[T],TrCeib11815[BUS],AF25)+SUMIFS(VeredaTr12916[T],VeredaTr12916[BUS],AF25)</f>
        <v>0</v>
      </c>
    </row>
    <row r="26" spans="2:34" x14ac:dyDescent="0.35">
      <c r="B26" t="s">
        <v>108</v>
      </c>
      <c r="C26" s="28">
        <v>4</v>
      </c>
      <c r="D26" s="23">
        <v>0.33263888888888898</v>
      </c>
      <c r="E26" s="23">
        <f t="shared" si="40"/>
        <v>4.8611111111111494E-3</v>
      </c>
      <c r="F26" s="23">
        <f>VLOOKUP(TrCeib11815[[#This Row],[HORA_INI]],Ruta1[[HORA]:[iD]],5,TRUE)</f>
        <v>4.8611111111111112E-3</v>
      </c>
      <c r="G26" s="23">
        <f t="shared" si="0"/>
        <v>2.4305555555555556E-2</v>
      </c>
      <c r="H26" s="23">
        <f t="shared" si="41"/>
        <v>0.35694444444444456</v>
      </c>
      <c r="I26" s="23">
        <f t="shared" si="42"/>
        <v>0</v>
      </c>
      <c r="J26" s="23"/>
      <c r="K26" s="23">
        <f>+D26+I26</f>
        <v>0.33263888888888898</v>
      </c>
      <c r="L26" s="30">
        <f>(TrCeib11815[[#This Row],[HORA_FIN]]-TrCeib11815[[#This Row],[HORA_INI]])+TrCeib11815[[#This Row],[Tt_tex]]</f>
        <v>2.430555555555558E-2</v>
      </c>
      <c r="M26" s="40"/>
      <c r="O26" t="s">
        <v>109</v>
      </c>
      <c r="P26" s="28">
        <v>8</v>
      </c>
      <c r="Q26" s="23">
        <v>0.34236111111111117</v>
      </c>
      <c r="R26" s="23">
        <f t="shared" si="27"/>
        <v>4.8611111111110938E-3</v>
      </c>
      <c r="S26" s="23">
        <f>VLOOKUP(VeredaTr12916[[#This Row],[HORA_INI]],Ruta2[[HORA]:[iD]],5,TRUE)</f>
        <v>4.8611111111111112E-3</v>
      </c>
      <c r="T26" s="23">
        <f t="shared" si="3"/>
        <v>2.4305555555555556E-2</v>
      </c>
      <c r="U26" s="23">
        <f t="shared" si="28"/>
        <v>0.36666666666666675</v>
      </c>
      <c r="V26" s="23">
        <f t="shared" si="29"/>
        <v>0</v>
      </c>
      <c r="W26" s="23"/>
      <c r="X26" s="23">
        <f t="shared" si="43"/>
        <v>0.34236111111111117</v>
      </c>
      <c r="Y26" s="30">
        <f>(U26-Q26+VeredaTr12916[[#This Row],[Tt_tex]])</f>
        <v>2.430555555555558E-2</v>
      </c>
      <c r="AF26" s="7">
        <v>23</v>
      </c>
      <c r="AG26" s="25">
        <f>SUMIFS(TrCeib11815[T],TrCeib11815[BUS],AF26)+SUMIFS(VeredaTr12916[T],VeredaTr12916[BUS],AF26)</f>
        <v>0</v>
      </c>
    </row>
    <row r="27" spans="2:34" x14ac:dyDescent="0.35">
      <c r="B27" t="s">
        <v>108</v>
      </c>
      <c r="C27" s="28">
        <v>10</v>
      </c>
      <c r="D27" s="23">
        <v>0.33750000000000008</v>
      </c>
      <c r="E27" s="23">
        <f t="shared" si="40"/>
        <v>4.8611111111110938E-3</v>
      </c>
      <c r="F27" s="23">
        <f>VLOOKUP(TrCeib11815[[#This Row],[HORA_INI]],Ruta1[[HORA]:[iD]],5,TRUE)</f>
        <v>4.8611111111111112E-3</v>
      </c>
      <c r="G27" s="23">
        <f t="shared" si="0"/>
        <v>2.4305555555555556E-2</v>
      </c>
      <c r="H27" s="23">
        <f t="shared" si="41"/>
        <v>0.36180555555555566</v>
      </c>
      <c r="I27" s="23">
        <f t="shared" si="42"/>
        <v>0</v>
      </c>
      <c r="J27" s="23"/>
      <c r="K27" s="23">
        <f t="shared" si="23"/>
        <v>0.33750000000000008</v>
      </c>
      <c r="L27" s="30">
        <f>(TrCeib11815[[#This Row],[HORA_FIN]]-TrCeib11815[[#This Row],[HORA_INI]])+TrCeib11815[[#This Row],[Tt_tex]]</f>
        <v>2.430555555555558E-2</v>
      </c>
      <c r="M27" s="40"/>
      <c r="O27" t="s">
        <v>109</v>
      </c>
      <c r="P27" s="28">
        <v>3</v>
      </c>
      <c r="Q27" s="23">
        <v>0.34722222222222232</v>
      </c>
      <c r="R27" s="23">
        <f t="shared" si="27"/>
        <v>4.8611111111111494E-3</v>
      </c>
      <c r="S27" s="23">
        <f>VLOOKUP(VeredaTr12916[[#This Row],[HORA_INI]],Ruta2[[HORA]:[iD]],5,TRUE)</f>
        <v>4.8611111111111112E-3</v>
      </c>
      <c r="T27" s="23">
        <f t="shared" si="3"/>
        <v>2.4305555555555556E-2</v>
      </c>
      <c r="U27" s="23">
        <f t="shared" si="28"/>
        <v>0.3715277777777779</v>
      </c>
      <c r="V27" s="23">
        <f t="shared" si="29"/>
        <v>0</v>
      </c>
      <c r="W27" s="23"/>
      <c r="X27" s="23">
        <f t="shared" si="43"/>
        <v>0.34722222222222232</v>
      </c>
      <c r="Y27" s="30">
        <f>(U27-Q27+VeredaTr12916[[#This Row],[Tt_tex]])</f>
        <v>2.430555555555558E-2</v>
      </c>
      <c r="AF27" s="7">
        <v>24</v>
      </c>
      <c r="AG27" s="25">
        <f>SUMIFS(TrCeib11815[T],TrCeib11815[BUS],AF27)+SUMIFS(VeredaTr12916[T],VeredaTr12916[BUS],AF27)</f>
        <v>0</v>
      </c>
    </row>
    <row r="28" spans="2:34" x14ac:dyDescent="0.35">
      <c r="B28" t="s">
        <v>108</v>
      </c>
      <c r="C28" s="28">
        <v>5</v>
      </c>
      <c r="D28" s="23">
        <v>0.34236111111111117</v>
      </c>
      <c r="E28" s="23">
        <f t="shared" si="40"/>
        <v>4.8611111111110938E-3</v>
      </c>
      <c r="F28" s="23">
        <f>VLOOKUP(TrCeib11815[[#This Row],[HORA_INI]],Ruta1[[HORA]:[iD]],5,TRUE)</f>
        <v>4.8611111111111112E-3</v>
      </c>
      <c r="G28" s="23">
        <f t="shared" si="0"/>
        <v>2.4305555555555556E-2</v>
      </c>
      <c r="H28" s="23">
        <f t="shared" si="41"/>
        <v>0.36666666666666675</v>
      </c>
      <c r="I28" s="23">
        <f t="shared" si="42"/>
        <v>0</v>
      </c>
      <c r="J28" s="23"/>
      <c r="K28" s="23">
        <f t="shared" ref="K28:K37" si="44">+D28+I28</f>
        <v>0.34236111111111117</v>
      </c>
      <c r="L28" s="30">
        <f>(TrCeib11815[[#This Row],[HORA_FIN]]-TrCeib11815[[#This Row],[HORA_INI]])+TrCeib11815[[#This Row],[Tt_tex]]</f>
        <v>2.430555555555558E-2</v>
      </c>
      <c r="M28" s="40"/>
      <c r="O28" t="s">
        <v>109</v>
      </c>
      <c r="P28" s="28">
        <v>9</v>
      </c>
      <c r="Q28" s="23">
        <v>0.35208333333333341</v>
      </c>
      <c r="R28" s="23">
        <f t="shared" si="27"/>
        <v>4.8611111111110938E-3</v>
      </c>
      <c r="S28" s="23">
        <f>VLOOKUP(VeredaTr12916[[#This Row],[HORA_INI]],Ruta2[[HORA]:[iD]],5,TRUE)</f>
        <v>4.8611111111111112E-3</v>
      </c>
      <c r="T28" s="23">
        <f t="shared" si="3"/>
        <v>2.4305555555555556E-2</v>
      </c>
      <c r="U28" s="23">
        <f t="shared" si="28"/>
        <v>0.37638888888888899</v>
      </c>
      <c r="V28" s="23">
        <f t="shared" si="29"/>
        <v>0</v>
      </c>
      <c r="W28" s="23"/>
      <c r="X28" s="23">
        <f t="shared" si="43"/>
        <v>0.35208333333333341</v>
      </c>
      <c r="Y28" s="30">
        <f>(U28-Q28+VeredaTr12916[[#This Row],[Tt_tex]])</f>
        <v>2.430555555555558E-2</v>
      </c>
    </row>
    <row r="29" spans="2:34" x14ac:dyDescent="0.35">
      <c r="B29" t="s">
        <v>108</v>
      </c>
      <c r="C29" s="28">
        <v>6</v>
      </c>
      <c r="D29" s="23">
        <v>0.34722222222222232</v>
      </c>
      <c r="E29" s="23">
        <f t="shared" si="40"/>
        <v>4.8611111111111494E-3</v>
      </c>
      <c r="F29" s="23">
        <f>VLOOKUP(TrCeib11815[[#This Row],[HORA_INI]],Ruta1[[HORA]:[iD]],5,TRUE)</f>
        <v>4.8611111111111112E-3</v>
      </c>
      <c r="G29" s="23">
        <f t="shared" si="0"/>
        <v>2.4305555555555556E-2</v>
      </c>
      <c r="H29" s="23">
        <f t="shared" si="41"/>
        <v>0.3715277777777779</v>
      </c>
      <c r="I29" s="23">
        <f t="shared" si="42"/>
        <v>0</v>
      </c>
      <c r="J29" s="23"/>
      <c r="K29" s="23">
        <f t="shared" si="44"/>
        <v>0.34722222222222232</v>
      </c>
      <c r="L29" s="30">
        <f>(TrCeib11815[[#This Row],[HORA_FIN]]-TrCeib11815[[#This Row],[HORA_INI]])+TrCeib11815[[#This Row],[Tt_tex]]</f>
        <v>2.430555555555558E-2</v>
      </c>
      <c r="M29" s="40"/>
      <c r="O29" t="s">
        <v>109</v>
      </c>
      <c r="P29" s="28">
        <v>4</v>
      </c>
      <c r="Q29" s="23">
        <v>0.35694444444444456</v>
      </c>
      <c r="R29" s="23">
        <f t="shared" si="27"/>
        <v>4.8611111111111494E-3</v>
      </c>
      <c r="S29" s="23">
        <f>VLOOKUP(VeredaTr12916[[#This Row],[HORA_INI]],Ruta2[[HORA]:[iD]],5,TRUE)</f>
        <v>4.8611111111111112E-3</v>
      </c>
      <c r="T29" s="23">
        <f t="shared" si="3"/>
        <v>2.4305555555555556E-2</v>
      </c>
      <c r="U29" s="23">
        <f t="shared" si="28"/>
        <v>0.38125000000000014</v>
      </c>
      <c r="V29" s="23">
        <f t="shared" si="29"/>
        <v>0</v>
      </c>
      <c r="W29" s="23"/>
      <c r="X29" s="23">
        <f t="shared" si="43"/>
        <v>0.35694444444444456</v>
      </c>
      <c r="Y29" s="30">
        <f>(U29-Q29+VeredaTr12916[[#This Row],[Tt_tex]])</f>
        <v>2.430555555555558E-2</v>
      </c>
    </row>
    <row r="30" spans="2:34" x14ac:dyDescent="0.35">
      <c r="B30" t="s">
        <v>108</v>
      </c>
      <c r="C30" s="28">
        <v>7</v>
      </c>
      <c r="D30" s="23">
        <v>0.35208333333333341</v>
      </c>
      <c r="E30" s="23">
        <f t="shared" si="40"/>
        <v>4.8611111111110938E-3</v>
      </c>
      <c r="F30" s="23">
        <f>VLOOKUP(TrCeib11815[[#This Row],[HORA_INI]],Ruta1[[HORA]:[iD]],5,TRUE)</f>
        <v>4.8611111111111112E-3</v>
      </c>
      <c r="G30" s="23">
        <f t="shared" si="0"/>
        <v>2.4305555555555556E-2</v>
      </c>
      <c r="H30" s="23">
        <f t="shared" si="41"/>
        <v>0.37638888888888899</v>
      </c>
      <c r="I30" s="23">
        <f t="shared" si="42"/>
        <v>0</v>
      </c>
      <c r="J30" s="23"/>
      <c r="K30" s="23">
        <f t="shared" si="44"/>
        <v>0.35208333333333341</v>
      </c>
      <c r="L30" s="30">
        <f>(TrCeib11815[[#This Row],[HORA_FIN]]-TrCeib11815[[#This Row],[HORA_INI]])+TrCeib11815[[#This Row],[Tt_tex]]</f>
        <v>2.430555555555558E-2</v>
      </c>
      <c r="M30" s="40"/>
      <c r="O30" t="s">
        <v>109</v>
      </c>
      <c r="P30" s="28">
        <v>10</v>
      </c>
      <c r="Q30" s="23">
        <v>0.36180555555555566</v>
      </c>
      <c r="R30" s="23">
        <f t="shared" si="27"/>
        <v>4.8611111111110938E-3</v>
      </c>
      <c r="S30" s="23">
        <f>VLOOKUP(VeredaTr12916[[#This Row],[HORA_INI]],Ruta2[[HORA]:[iD]],5,TRUE)</f>
        <v>4.8611111111111112E-3</v>
      </c>
      <c r="T30" s="23">
        <f t="shared" si="3"/>
        <v>2.4305555555555556E-2</v>
      </c>
      <c r="U30" s="23">
        <f t="shared" si="28"/>
        <v>0.38611111111111124</v>
      </c>
      <c r="V30" s="23">
        <f t="shared" si="29"/>
        <v>0</v>
      </c>
      <c r="W30" s="23"/>
      <c r="X30" s="23">
        <f t="shared" si="43"/>
        <v>0.36180555555555566</v>
      </c>
      <c r="Y30" s="30">
        <f>(U30-Q30+VeredaTr12916[[#This Row],[Tt_tex]])</f>
        <v>2.430555555555558E-2</v>
      </c>
    </row>
    <row r="31" spans="2:34" x14ac:dyDescent="0.35">
      <c r="B31" t="s">
        <v>108</v>
      </c>
      <c r="C31" s="28">
        <v>1</v>
      </c>
      <c r="D31" s="23">
        <v>0.35694444444444456</v>
      </c>
      <c r="E31" s="23">
        <f t="shared" si="40"/>
        <v>4.8611111111111494E-3</v>
      </c>
      <c r="F31" s="23">
        <f>VLOOKUP(TrCeib11815[[#This Row],[HORA_INI]],Ruta1[[HORA]:[iD]],5,TRUE)</f>
        <v>4.8611111111111112E-3</v>
      </c>
      <c r="G31" s="23">
        <f t="shared" si="0"/>
        <v>2.4305555555555556E-2</v>
      </c>
      <c r="H31" s="23">
        <f t="shared" si="41"/>
        <v>0.38125000000000014</v>
      </c>
      <c r="I31" s="23">
        <f t="shared" si="42"/>
        <v>0</v>
      </c>
      <c r="J31" s="23"/>
      <c r="K31" s="23">
        <f t="shared" si="44"/>
        <v>0.35694444444444456</v>
      </c>
      <c r="L31" s="30">
        <f>(TrCeib11815[[#This Row],[HORA_FIN]]-TrCeib11815[[#This Row],[HORA_INI]])+TrCeib11815[[#This Row],[Tt_tex]]</f>
        <v>2.430555555555558E-2</v>
      </c>
      <c r="M31" s="40"/>
      <c r="N31" s="22"/>
      <c r="O31" t="s">
        <v>109</v>
      </c>
      <c r="P31" s="28">
        <v>5</v>
      </c>
      <c r="Q31" s="23">
        <v>0.36666666666666675</v>
      </c>
      <c r="R31" s="23">
        <f t="shared" si="27"/>
        <v>4.8611111111110938E-3</v>
      </c>
      <c r="S31" s="23">
        <f>VLOOKUP(VeredaTr12916[[#This Row],[HORA_INI]],Ruta2[[HORA]:[iD]],5,TRUE)</f>
        <v>4.8611111111111112E-3</v>
      </c>
      <c r="T31" s="23">
        <f t="shared" si="3"/>
        <v>2.4305555555555556E-2</v>
      </c>
      <c r="U31" s="23">
        <f t="shared" si="28"/>
        <v>0.39097222222222233</v>
      </c>
      <c r="V31" s="23">
        <f t="shared" si="29"/>
        <v>0</v>
      </c>
      <c r="W31" s="23"/>
      <c r="X31" s="23">
        <f t="shared" si="43"/>
        <v>0.36666666666666675</v>
      </c>
      <c r="Y31" s="30">
        <f>(U31-Q31+VeredaTr12916[[#This Row],[Tt_tex]])</f>
        <v>2.430555555555558E-2</v>
      </c>
    </row>
    <row r="32" spans="2:34" x14ac:dyDescent="0.35">
      <c r="B32" t="s">
        <v>108</v>
      </c>
      <c r="C32" s="28">
        <v>2</v>
      </c>
      <c r="D32" s="23">
        <v>0.36180555555555566</v>
      </c>
      <c r="E32" s="23">
        <f t="shared" si="40"/>
        <v>4.8611111111110938E-3</v>
      </c>
      <c r="F32" s="23">
        <f>VLOOKUP(TrCeib11815[[#This Row],[HORA_INI]],Ruta1[[HORA]:[iD]],5,TRUE)</f>
        <v>4.8611111111111112E-3</v>
      </c>
      <c r="G32" s="23">
        <f t="shared" si="0"/>
        <v>2.4305555555555556E-2</v>
      </c>
      <c r="H32" s="23">
        <f t="shared" si="41"/>
        <v>0.38611111111111124</v>
      </c>
      <c r="I32" s="23">
        <f t="shared" si="42"/>
        <v>0</v>
      </c>
      <c r="J32" s="23"/>
      <c r="K32" s="23">
        <f t="shared" si="44"/>
        <v>0.36180555555555566</v>
      </c>
      <c r="L32" s="30">
        <f>(TrCeib11815[[#This Row],[HORA_FIN]]-TrCeib11815[[#This Row],[HORA_INI]])+TrCeib11815[[#This Row],[Tt_tex]]</f>
        <v>2.430555555555558E-2</v>
      </c>
      <c r="M32" s="40"/>
      <c r="N32" s="22"/>
      <c r="O32" t="s">
        <v>109</v>
      </c>
      <c r="P32" s="28">
        <v>6</v>
      </c>
      <c r="Q32" s="23">
        <v>0.3715277777777779</v>
      </c>
      <c r="R32" s="23">
        <f t="shared" si="27"/>
        <v>4.8611111111111494E-3</v>
      </c>
      <c r="S32" s="23">
        <f>VLOOKUP(VeredaTr12916[[#This Row],[HORA_INI]],Ruta2[[HORA]:[iD]],5,TRUE)</f>
        <v>4.8611111111111112E-3</v>
      </c>
      <c r="T32" s="23">
        <f t="shared" si="3"/>
        <v>2.4305555555555556E-2</v>
      </c>
      <c r="U32" s="23">
        <f t="shared" si="28"/>
        <v>0.39583333333333348</v>
      </c>
      <c r="V32" s="23">
        <f t="shared" si="29"/>
        <v>0</v>
      </c>
      <c r="W32" s="23"/>
      <c r="X32" s="23">
        <f t="shared" si="43"/>
        <v>0.3715277777777779</v>
      </c>
      <c r="Y32" s="30">
        <f>(U32-Q32+VeredaTr12916[[#This Row],[Tt_tex]])</f>
        <v>2.430555555555558E-2</v>
      </c>
    </row>
    <row r="33" spans="1:25" x14ac:dyDescent="0.35">
      <c r="B33" t="s">
        <v>108</v>
      </c>
      <c r="C33" s="28">
        <v>8</v>
      </c>
      <c r="D33" s="23">
        <v>0.36666666666666675</v>
      </c>
      <c r="E33" s="23">
        <f t="shared" si="40"/>
        <v>4.8611111111110938E-3</v>
      </c>
      <c r="F33" s="23">
        <f>VLOOKUP(TrCeib11815[[#This Row],[HORA_INI]],Ruta1[[HORA]:[iD]],5,TRUE)</f>
        <v>4.8611111111111112E-3</v>
      </c>
      <c r="G33" s="23">
        <f t="shared" si="0"/>
        <v>2.4305555555555556E-2</v>
      </c>
      <c r="H33" s="23">
        <f t="shared" si="41"/>
        <v>0.39097222222222233</v>
      </c>
      <c r="I33" s="23">
        <f t="shared" si="42"/>
        <v>0</v>
      </c>
      <c r="J33" s="23"/>
      <c r="K33" s="23">
        <f t="shared" si="44"/>
        <v>0.36666666666666675</v>
      </c>
      <c r="L33" s="30">
        <f>(TrCeib11815[[#This Row],[HORA_FIN]]-TrCeib11815[[#This Row],[HORA_INI]])+TrCeib11815[[#This Row],[Tt_tex]]</f>
        <v>2.430555555555558E-2</v>
      </c>
      <c r="M33" s="40"/>
      <c r="N33" s="22"/>
      <c r="O33" t="s">
        <v>109</v>
      </c>
      <c r="P33" s="28">
        <v>7</v>
      </c>
      <c r="Q33" s="23">
        <v>0.37638888888888899</v>
      </c>
      <c r="R33" s="23">
        <f t="shared" si="27"/>
        <v>4.8611111111110938E-3</v>
      </c>
      <c r="S33" s="23">
        <f>VLOOKUP(VeredaTr12916[[#This Row],[HORA_INI]],Ruta2[[HORA]:[iD]],5,TRUE)</f>
        <v>4.8611111111111112E-3</v>
      </c>
      <c r="T33" s="23">
        <f t="shared" si="3"/>
        <v>2.4305555555555556E-2</v>
      </c>
      <c r="U33" s="23">
        <f t="shared" si="28"/>
        <v>0.40069444444444458</v>
      </c>
      <c r="V33" s="23">
        <f t="shared" si="29"/>
        <v>0</v>
      </c>
      <c r="W33" s="23"/>
      <c r="X33" s="23">
        <f t="shared" si="43"/>
        <v>0.37638888888888899</v>
      </c>
      <c r="Y33" s="30">
        <f>(U33-Q33+VeredaTr12916[[#This Row],[Tt_tex]])</f>
        <v>2.430555555555558E-2</v>
      </c>
    </row>
    <row r="34" spans="1:25" x14ac:dyDescent="0.35">
      <c r="B34" t="s">
        <v>108</v>
      </c>
      <c r="C34" s="28">
        <v>3</v>
      </c>
      <c r="D34" s="23">
        <v>0.3715277777777779</v>
      </c>
      <c r="E34" s="23">
        <f t="shared" si="40"/>
        <v>4.8611111111111494E-3</v>
      </c>
      <c r="F34" s="23">
        <f>VLOOKUP(TrCeib11815[[#This Row],[HORA_INI]],Ruta1[[HORA]:[iD]],5,TRUE)</f>
        <v>4.8611111111111112E-3</v>
      </c>
      <c r="G34" s="23">
        <f t="shared" si="0"/>
        <v>2.4305555555555556E-2</v>
      </c>
      <c r="H34" s="23">
        <f t="shared" si="41"/>
        <v>0.39583333333333348</v>
      </c>
      <c r="I34" s="23">
        <f t="shared" si="42"/>
        <v>0</v>
      </c>
      <c r="J34" s="23"/>
      <c r="K34" s="23">
        <f t="shared" si="44"/>
        <v>0.3715277777777779</v>
      </c>
      <c r="L34" s="30">
        <f>(TrCeib11815[[#This Row],[HORA_FIN]]-TrCeib11815[[#This Row],[HORA_INI]])+TrCeib11815[[#This Row],[Tt_tex]]</f>
        <v>2.430555555555558E-2</v>
      </c>
      <c r="M34" s="40"/>
      <c r="N34" s="22"/>
      <c r="O34" t="s">
        <v>109</v>
      </c>
      <c r="P34" s="28">
        <v>1</v>
      </c>
      <c r="Q34" s="23">
        <v>0.38125000000000014</v>
      </c>
      <c r="R34" s="23">
        <f t="shared" si="27"/>
        <v>4.8611111111111494E-3</v>
      </c>
      <c r="S34" s="23">
        <f>VLOOKUP(VeredaTr12916[[#This Row],[HORA_INI]],Ruta2[[HORA]:[iD]],5,TRUE)</f>
        <v>4.8611111111111112E-3</v>
      </c>
      <c r="T34" s="23">
        <f t="shared" si="3"/>
        <v>2.4305555555555556E-2</v>
      </c>
      <c r="U34" s="23">
        <f t="shared" si="28"/>
        <v>0.40555555555555572</v>
      </c>
      <c r="V34" s="23">
        <f t="shared" si="29"/>
        <v>0</v>
      </c>
      <c r="W34" s="23"/>
      <c r="X34" s="23">
        <f t="shared" si="43"/>
        <v>0.38125000000000014</v>
      </c>
      <c r="Y34" s="30">
        <f>(U34-Q34+VeredaTr12916[[#This Row],[Tt_tex]])</f>
        <v>2.430555555555558E-2</v>
      </c>
    </row>
    <row r="35" spans="1:25" x14ac:dyDescent="0.35">
      <c r="A35" t="s">
        <v>70</v>
      </c>
      <c r="B35" t="s">
        <v>108</v>
      </c>
      <c r="C35" s="28">
        <v>9</v>
      </c>
      <c r="D35" s="23">
        <v>0.37638888888888899</v>
      </c>
      <c r="E35" s="23">
        <f t="shared" si="40"/>
        <v>4.8611111111110938E-3</v>
      </c>
      <c r="F35" s="23">
        <f>VLOOKUP(TrCeib11815[[#This Row],[HORA_INI]],Ruta1[[HORA]:[iD]],5,TRUE)</f>
        <v>4.8611111111111112E-3</v>
      </c>
      <c r="G35" s="23">
        <f t="shared" si="0"/>
        <v>2.4305555555555556E-2</v>
      </c>
      <c r="H35" s="23">
        <f t="shared" si="41"/>
        <v>0.40069444444444458</v>
      </c>
      <c r="I35" s="23">
        <f t="shared" si="42"/>
        <v>0</v>
      </c>
      <c r="J35" s="23"/>
      <c r="K35" s="23">
        <f t="shared" si="44"/>
        <v>0.37638888888888899</v>
      </c>
      <c r="L35" s="30">
        <f>(TrCeib11815[[#This Row],[HORA_FIN]]-TrCeib11815[[#This Row],[HORA_INI]])+TrCeib11815[[#This Row],[Tt_tex]]</f>
        <v>2.430555555555558E-2</v>
      </c>
      <c r="M35" s="40"/>
      <c r="N35" s="22"/>
      <c r="O35" t="s">
        <v>109</v>
      </c>
      <c r="P35" s="28">
        <v>2</v>
      </c>
      <c r="Q35" s="23">
        <v>0.38611111111111124</v>
      </c>
      <c r="R35" s="23">
        <f t="shared" si="27"/>
        <v>4.8611111111110938E-3</v>
      </c>
      <c r="S35" s="23">
        <f>VLOOKUP(VeredaTr12916[[#This Row],[HORA_INI]],Ruta2[[HORA]:[iD]],5,TRUE)</f>
        <v>4.8611111111111112E-3</v>
      </c>
      <c r="T35" s="23">
        <f t="shared" si="3"/>
        <v>2.4305555555555556E-2</v>
      </c>
      <c r="U35" s="23">
        <f t="shared" si="28"/>
        <v>0.41041666666666682</v>
      </c>
      <c r="V35" s="23">
        <f t="shared" si="29"/>
        <v>0</v>
      </c>
      <c r="W35" s="23"/>
      <c r="X35" s="23">
        <f t="shared" ref="X35:X40" si="45">+Q35+V35</f>
        <v>0.38611111111111124</v>
      </c>
      <c r="Y35" s="30">
        <f>(U35-Q35+VeredaTr12916[[#This Row],[Tt_tex]])</f>
        <v>2.430555555555558E-2</v>
      </c>
    </row>
    <row r="36" spans="1:25" x14ac:dyDescent="0.35">
      <c r="B36" t="s">
        <v>108</v>
      </c>
      <c r="C36" s="28">
        <v>4</v>
      </c>
      <c r="D36" s="23">
        <v>0.38125000000000014</v>
      </c>
      <c r="E36" s="23">
        <f t="shared" si="40"/>
        <v>4.8611111111111494E-3</v>
      </c>
      <c r="F36" s="23">
        <f>VLOOKUP(TrCeib11815[[#This Row],[HORA_INI]],Ruta1[[HORA]:[iD]],5,TRUE)</f>
        <v>4.8611111111111112E-3</v>
      </c>
      <c r="G36" s="23">
        <f t="shared" si="0"/>
        <v>2.4305555555555556E-2</v>
      </c>
      <c r="H36" s="23">
        <f t="shared" si="41"/>
        <v>0.40555555555555572</v>
      </c>
      <c r="I36" s="23">
        <f t="shared" si="42"/>
        <v>0</v>
      </c>
      <c r="J36" s="23"/>
      <c r="K36" s="23">
        <f t="shared" si="44"/>
        <v>0.38125000000000014</v>
      </c>
      <c r="L36" s="30">
        <f>(TrCeib11815[[#This Row],[HORA_FIN]]-TrCeib11815[[#This Row],[HORA_INI]])+TrCeib11815[[#This Row],[Tt_tex]]</f>
        <v>2.430555555555558E-2</v>
      </c>
      <c r="M36" s="40"/>
      <c r="N36" s="22"/>
      <c r="O36" t="s">
        <v>109</v>
      </c>
      <c r="P36" s="28">
        <v>8</v>
      </c>
      <c r="Q36" s="23">
        <v>0.39097222222222233</v>
      </c>
      <c r="R36" s="23">
        <f t="shared" si="27"/>
        <v>4.8611111111110938E-3</v>
      </c>
      <c r="S36" s="23">
        <f>VLOOKUP(VeredaTr12916[[#This Row],[HORA_INI]],Ruta2[[HORA]:[iD]],5,TRUE)</f>
        <v>4.8611111111111112E-3</v>
      </c>
      <c r="T36" s="23">
        <f t="shared" si="3"/>
        <v>2.4305555555555556E-2</v>
      </c>
      <c r="U36" s="23">
        <f t="shared" si="28"/>
        <v>0.41527777777777791</v>
      </c>
      <c r="V36" s="23">
        <f t="shared" si="29"/>
        <v>0</v>
      </c>
      <c r="W36" s="23"/>
      <c r="X36" s="23">
        <f t="shared" si="45"/>
        <v>0.39097222222222233</v>
      </c>
      <c r="Y36" s="30">
        <f>(U36-Q36+VeredaTr12916[[#This Row],[Tt_tex]])</f>
        <v>2.430555555555558E-2</v>
      </c>
    </row>
    <row r="37" spans="1:25" x14ac:dyDescent="0.35">
      <c r="B37" t="s">
        <v>108</v>
      </c>
      <c r="C37" s="28">
        <v>10</v>
      </c>
      <c r="D37" s="23">
        <v>0.38611111111111124</v>
      </c>
      <c r="E37" s="23">
        <f t="shared" si="40"/>
        <v>4.8611111111110938E-3</v>
      </c>
      <c r="F37" s="23">
        <f>VLOOKUP(TrCeib11815[[#This Row],[HORA_INI]],Ruta1[[HORA]:[iD]],5,TRUE)</f>
        <v>4.8611111111111112E-3</v>
      </c>
      <c r="G37" s="23">
        <f t="shared" si="0"/>
        <v>2.4305555555555556E-2</v>
      </c>
      <c r="H37" s="23">
        <f t="shared" si="41"/>
        <v>0.41041666666666682</v>
      </c>
      <c r="I37" s="23">
        <f t="shared" si="42"/>
        <v>0</v>
      </c>
      <c r="J37" s="23"/>
      <c r="K37" s="23">
        <f t="shared" si="44"/>
        <v>0.38611111111111124</v>
      </c>
      <c r="L37" s="30">
        <f>(TrCeib11815[[#This Row],[HORA_FIN]]-TrCeib11815[[#This Row],[HORA_INI]])+TrCeib11815[[#This Row],[Tt_tex]]</f>
        <v>2.430555555555558E-2</v>
      </c>
      <c r="M37" s="40"/>
      <c r="N37" s="22"/>
      <c r="O37" t="s">
        <v>109</v>
      </c>
      <c r="P37" s="28">
        <v>3</v>
      </c>
      <c r="Q37" s="23">
        <v>0.39791666666666664</v>
      </c>
      <c r="R37" s="23">
        <f t="shared" si="27"/>
        <v>6.9444444444443088E-3</v>
      </c>
      <c r="S37" s="23">
        <f>VLOOKUP(VeredaTr12916[[#This Row],[HORA_INI]],Ruta2[[HORA]:[iD]],5,TRUE)</f>
        <v>6.9444444444444441E-3</v>
      </c>
      <c r="T37" s="23">
        <f t="shared" si="3"/>
        <v>2.4305555555555556E-2</v>
      </c>
      <c r="U37" s="23">
        <f t="shared" si="28"/>
        <v>0.42222222222222222</v>
      </c>
      <c r="V37" s="23">
        <f t="shared" si="29"/>
        <v>0</v>
      </c>
      <c r="W37" s="23">
        <v>2.0833333333333333E-3</v>
      </c>
      <c r="X37" s="23">
        <f t="shared" si="45"/>
        <v>0.39791666666666664</v>
      </c>
      <c r="Y37" s="30">
        <f>(U37-Q37+VeredaTr12916[[#This Row],[Tt_tex]])</f>
        <v>2.6388888888888913E-2</v>
      </c>
    </row>
    <row r="38" spans="1:25" x14ac:dyDescent="0.35">
      <c r="A38" t="s">
        <v>70</v>
      </c>
      <c r="B38" t="s">
        <v>108</v>
      </c>
      <c r="C38" s="28">
        <v>5</v>
      </c>
      <c r="D38" s="23">
        <v>0.39097222222222233</v>
      </c>
      <c r="E38" s="23">
        <f t="shared" si="40"/>
        <v>4.8611111111110938E-3</v>
      </c>
      <c r="F38" s="23">
        <f>VLOOKUP(TrCeib11815[[#This Row],[HORA_INI]],Ruta1[[HORA]:[iD]],5,TRUE)</f>
        <v>4.8611111111111112E-3</v>
      </c>
      <c r="G38" s="23">
        <f t="shared" si="0"/>
        <v>2.4305555555555556E-2</v>
      </c>
      <c r="H38" s="23">
        <f t="shared" si="41"/>
        <v>0.41527777777777791</v>
      </c>
      <c r="I38" s="23">
        <f t="shared" si="42"/>
        <v>0</v>
      </c>
      <c r="J38" s="23"/>
      <c r="K38" s="23">
        <f t="shared" ref="K38:K45" si="46">+D38+I38</f>
        <v>0.39097222222222233</v>
      </c>
      <c r="L38" s="30">
        <f>(TrCeib11815[[#This Row],[HORA_FIN]]-TrCeib11815[[#This Row],[HORA_INI]])+TrCeib11815[[#This Row],[Tt_tex]]</f>
        <v>2.430555555555558E-2</v>
      </c>
      <c r="M38" s="40"/>
      <c r="N38" s="22"/>
      <c r="O38" t="s">
        <v>109</v>
      </c>
      <c r="P38" s="28">
        <v>4</v>
      </c>
      <c r="Q38" s="23">
        <v>0.40555555555555572</v>
      </c>
      <c r="R38" s="23">
        <f t="shared" ref="R38:R39" si="47">Q38-Q37</f>
        <v>7.6388888888890838E-3</v>
      </c>
      <c r="S38" s="23">
        <f>VLOOKUP(VeredaTr12916[[#This Row],[HORA_INI]],Ruta2[[HORA]:[iD]],5,TRUE)</f>
        <v>6.9444444444444441E-3</v>
      </c>
      <c r="T38" s="23">
        <f t="shared" si="3"/>
        <v>2.4305555555555556E-2</v>
      </c>
      <c r="U38" s="23">
        <f t="shared" ref="U38:U39" si="48">+Q38+T38</f>
        <v>0.4298611111111113</v>
      </c>
      <c r="V38" s="23">
        <f t="shared" ref="V38:V39" si="49">+(Q37+S38)-Q38</f>
        <v>-6.9444444444466402E-4</v>
      </c>
      <c r="W38" s="23"/>
      <c r="X38" s="23">
        <f t="shared" si="45"/>
        <v>0.40486111111111106</v>
      </c>
      <c r="Y38" s="30">
        <f>(U38-Q38+VeredaTr12916[[#This Row],[Tt_tex]])</f>
        <v>2.430555555555558E-2</v>
      </c>
    </row>
    <row r="39" spans="1:25" x14ac:dyDescent="0.35">
      <c r="B39" t="s">
        <v>108</v>
      </c>
      <c r="C39" s="28">
        <v>6</v>
      </c>
      <c r="D39" s="23">
        <v>0.39583333333333348</v>
      </c>
      <c r="E39" s="23">
        <f t="shared" si="40"/>
        <v>4.8611111111111494E-3</v>
      </c>
      <c r="F39" s="23">
        <f>VLOOKUP(TrCeib11815[[#This Row],[HORA_INI]],Ruta1[[HORA]:[iD]],5,TRUE)</f>
        <v>4.8611111111111112E-3</v>
      </c>
      <c r="G39" s="23">
        <f t="shared" si="0"/>
        <v>2.4305555555555556E-2</v>
      </c>
      <c r="H39" s="23">
        <f t="shared" si="41"/>
        <v>0.42013888888888906</v>
      </c>
      <c r="I39" s="23">
        <f t="shared" si="42"/>
        <v>0</v>
      </c>
      <c r="J39" s="23"/>
      <c r="K39" s="23">
        <f t="shared" si="46"/>
        <v>0.39583333333333348</v>
      </c>
      <c r="L39" s="30">
        <f>(TrCeib11815[[#This Row],[HORA_FIN]]-TrCeib11815[[#This Row],[HORA_INI]])+TrCeib11815[[#This Row],[Tt_tex]]</f>
        <v>2.430555555555558E-2</v>
      </c>
      <c r="M39" s="40"/>
      <c r="N39" s="22"/>
      <c r="O39" t="s">
        <v>109</v>
      </c>
      <c r="P39" s="28">
        <v>10</v>
      </c>
      <c r="Q39" s="23">
        <v>0.41249999999999998</v>
      </c>
      <c r="R39" s="23">
        <f t="shared" si="47"/>
        <v>6.9444444444442532E-3</v>
      </c>
      <c r="S39" s="23">
        <f>VLOOKUP(VeredaTr12916[[#This Row],[HORA_INI]],Ruta2[[HORA]:[iD]],5,TRUE)</f>
        <v>6.9444444444444441E-3</v>
      </c>
      <c r="T39" s="23">
        <f t="shared" si="3"/>
        <v>2.4305555555555556E-2</v>
      </c>
      <c r="U39" s="23">
        <f t="shared" si="48"/>
        <v>0.43680555555555556</v>
      </c>
      <c r="V39" s="23">
        <f t="shared" si="49"/>
        <v>0</v>
      </c>
      <c r="W39" s="23">
        <v>2.0833333333333333E-3</v>
      </c>
      <c r="X39" s="23">
        <f t="shared" si="45"/>
        <v>0.41249999999999998</v>
      </c>
      <c r="Y39" s="30">
        <f>(U39-Q39+VeredaTr12916[[#This Row],[Tt_tex]])</f>
        <v>2.6388888888888913E-2</v>
      </c>
    </row>
    <row r="40" spans="1:25" x14ac:dyDescent="0.35">
      <c r="B40" t="s">
        <v>108</v>
      </c>
      <c r="C40" s="28">
        <v>7</v>
      </c>
      <c r="D40" s="23">
        <v>0.40069444444444458</v>
      </c>
      <c r="E40" s="23">
        <f t="shared" si="40"/>
        <v>4.8611111111110938E-3</v>
      </c>
      <c r="F40" s="23">
        <f>VLOOKUP(TrCeib11815[[#This Row],[HORA_INI]],Ruta1[[HORA]:[iD]],5,TRUE)</f>
        <v>4.8611111111111112E-3</v>
      </c>
      <c r="G40" s="23">
        <f t="shared" si="0"/>
        <v>2.4305555555555556E-2</v>
      </c>
      <c r="H40" s="23">
        <f t="shared" si="41"/>
        <v>0.42500000000000016</v>
      </c>
      <c r="I40" s="23">
        <f t="shared" si="42"/>
        <v>0</v>
      </c>
      <c r="J40" s="23"/>
      <c r="K40" s="23">
        <f t="shared" si="46"/>
        <v>0.40069444444444458</v>
      </c>
      <c r="L40" s="30">
        <f>(TrCeib11815[[#This Row],[HORA_FIN]]-TrCeib11815[[#This Row],[HORA_INI]])+TrCeib11815[[#This Row],[Tt_tex]]</f>
        <v>2.430555555555558E-2</v>
      </c>
      <c r="M40" s="40"/>
      <c r="N40" s="22"/>
      <c r="O40" t="s">
        <v>109</v>
      </c>
      <c r="P40" s="28">
        <v>6</v>
      </c>
      <c r="Q40" s="23">
        <v>0.42013888888888906</v>
      </c>
      <c r="R40" s="23">
        <f t="shared" ref="R40" si="50">Q40-Q39</f>
        <v>7.6388888888890838E-3</v>
      </c>
      <c r="S40" s="23">
        <f>VLOOKUP(VeredaTr12916[[#This Row],[HORA_INI]],Ruta2[[HORA]:[iD]],5,TRUE)</f>
        <v>6.9444444444444441E-3</v>
      </c>
      <c r="T40" s="23">
        <f t="shared" si="3"/>
        <v>2.4305555555555556E-2</v>
      </c>
      <c r="U40" s="23">
        <f t="shared" ref="U40" si="51">+Q40+T40</f>
        <v>0.44444444444444464</v>
      </c>
      <c r="V40" s="23">
        <f t="shared" ref="V40" si="52">+(Q39+S40)-Q40</f>
        <v>-6.9444444444466402E-4</v>
      </c>
      <c r="W40" s="23"/>
      <c r="X40" s="23">
        <f t="shared" si="45"/>
        <v>0.4194444444444444</v>
      </c>
      <c r="Y40" s="30">
        <f>(U40-Q40+VeredaTr12916[[#This Row],[Tt_tex]])</f>
        <v>2.430555555555558E-2</v>
      </c>
    </row>
    <row r="41" spans="1:25" x14ac:dyDescent="0.35">
      <c r="B41" t="s">
        <v>108</v>
      </c>
      <c r="C41" s="28">
        <v>1</v>
      </c>
      <c r="D41" s="23">
        <v>0.40555555555555572</v>
      </c>
      <c r="E41" s="23">
        <f t="shared" si="40"/>
        <v>4.8611111111111494E-3</v>
      </c>
      <c r="F41" s="23">
        <f>VLOOKUP(TrCeib11815[[#This Row],[HORA_INI]],Ruta1[[HORA]:[iD]],5,TRUE)</f>
        <v>4.8611111111111112E-3</v>
      </c>
      <c r="G41" s="23">
        <f t="shared" si="0"/>
        <v>2.4305555555555556E-2</v>
      </c>
      <c r="H41" s="23">
        <f t="shared" si="41"/>
        <v>0.4298611111111113</v>
      </c>
      <c r="I41" s="23">
        <f t="shared" si="42"/>
        <v>0</v>
      </c>
      <c r="J41" s="23"/>
      <c r="K41" s="23">
        <f t="shared" si="46"/>
        <v>0.40555555555555572</v>
      </c>
      <c r="L41" s="30">
        <f>(TrCeib11815[[#This Row],[HORA_FIN]]-TrCeib11815[[#This Row],[HORA_INI]])+TrCeib11815[[#This Row],[Tt_tex]]</f>
        <v>2.430555555555558E-2</v>
      </c>
      <c r="M41" s="40"/>
      <c r="N41" s="22"/>
      <c r="O41" t="s">
        <v>109</v>
      </c>
      <c r="P41" s="28">
        <v>7</v>
      </c>
      <c r="Q41" s="23">
        <v>0.42708333333333331</v>
      </c>
      <c r="R41" s="23">
        <f t="shared" si="27"/>
        <v>6.9444444444442532E-3</v>
      </c>
      <c r="S41" s="23">
        <f>VLOOKUP(VeredaTr12916[[#This Row],[HORA_INI]],Ruta2[[HORA]:[iD]],5,TRUE)</f>
        <v>6.9444444444444441E-3</v>
      </c>
      <c r="T41" s="23">
        <f t="shared" si="3"/>
        <v>2.4305555555555556E-2</v>
      </c>
      <c r="U41" s="23">
        <f t="shared" ref="U41:U102" si="53">+Q41+T41</f>
        <v>0.4513888888888889</v>
      </c>
      <c r="V41" s="23">
        <f t="shared" ref="V41:V102" si="54">+(Q40+S41)-Q41</f>
        <v>0</v>
      </c>
      <c r="W41" s="23">
        <v>2.0833333333333333E-3</v>
      </c>
      <c r="X41" s="23">
        <f t="shared" ref="X41:X44" si="55">+Q41+V41</f>
        <v>0.42708333333333331</v>
      </c>
      <c r="Y41" s="30">
        <f>(U41-Q41+VeredaTr12916[[#This Row],[Tt_tex]])</f>
        <v>2.6388888888888913E-2</v>
      </c>
    </row>
    <row r="42" spans="1:25" x14ac:dyDescent="0.35">
      <c r="B42" t="s">
        <v>108</v>
      </c>
      <c r="C42" s="28">
        <v>2</v>
      </c>
      <c r="D42" s="23">
        <v>0.41041666666666682</v>
      </c>
      <c r="E42" s="23">
        <f t="shared" si="40"/>
        <v>4.8611111111110938E-3</v>
      </c>
      <c r="F42" s="23">
        <f>VLOOKUP(TrCeib11815[[#This Row],[HORA_INI]],Ruta1[[HORA]:[iD]],5,TRUE)</f>
        <v>4.8611111111111112E-3</v>
      </c>
      <c r="G42" s="23">
        <f t="shared" si="0"/>
        <v>2.4305555555555556E-2</v>
      </c>
      <c r="H42" s="23">
        <f t="shared" si="41"/>
        <v>0.4347222222222224</v>
      </c>
      <c r="I42" s="23">
        <f t="shared" si="42"/>
        <v>0</v>
      </c>
      <c r="J42" s="23"/>
      <c r="K42" s="23">
        <f t="shared" si="46"/>
        <v>0.41041666666666682</v>
      </c>
      <c r="L42" s="30">
        <f>(TrCeib11815[[#This Row],[HORA_FIN]]-TrCeib11815[[#This Row],[HORA_INI]])+TrCeib11815[[#This Row],[Tt_tex]]</f>
        <v>2.430555555555558E-2</v>
      </c>
      <c r="M42" s="40"/>
      <c r="N42" s="22"/>
      <c r="O42" t="s">
        <v>109</v>
      </c>
      <c r="P42" s="28">
        <v>1</v>
      </c>
      <c r="Q42" s="23">
        <v>0.43333333333333335</v>
      </c>
      <c r="R42" s="23">
        <f t="shared" si="27"/>
        <v>6.2500000000000333E-3</v>
      </c>
      <c r="S42" s="23">
        <f>VLOOKUP(VeredaTr12916[[#This Row],[HORA_INI]],Ruta2[[HORA]:[iD]],5,TRUE)</f>
        <v>6.9444444444444441E-3</v>
      </c>
      <c r="T42" s="23">
        <f t="shared" si="3"/>
        <v>2.4305555555555556E-2</v>
      </c>
      <c r="U42" s="23">
        <f t="shared" si="53"/>
        <v>0.45763888888888893</v>
      </c>
      <c r="V42" s="23">
        <f t="shared" si="54"/>
        <v>6.9444444444438647E-4</v>
      </c>
      <c r="W42" s="23">
        <v>3.472222222222222E-3</v>
      </c>
      <c r="X42" s="23">
        <f t="shared" si="55"/>
        <v>0.43402777777777773</v>
      </c>
      <c r="Y42" s="30">
        <f>(U42-Q42+VeredaTr12916[[#This Row],[Tt_tex]])</f>
        <v>2.7777777777777804E-2</v>
      </c>
    </row>
    <row r="43" spans="1:25" x14ac:dyDescent="0.35">
      <c r="A43" t="s">
        <v>70</v>
      </c>
      <c r="B43" t="s">
        <v>108</v>
      </c>
      <c r="C43" s="28">
        <v>8</v>
      </c>
      <c r="D43" s="23">
        <v>0.41527777777777791</v>
      </c>
      <c r="E43" s="23">
        <f t="shared" si="40"/>
        <v>4.8611111111110938E-3</v>
      </c>
      <c r="F43" s="23">
        <f>VLOOKUP(TrCeib11815[[#This Row],[HORA_INI]],Ruta1[[HORA]:[iD]],5,TRUE)</f>
        <v>4.8611111111111112E-3</v>
      </c>
      <c r="G43" s="23">
        <f t="shared" si="0"/>
        <v>2.4305555555555556E-2</v>
      </c>
      <c r="H43" s="23">
        <f t="shared" si="41"/>
        <v>0.43958333333333349</v>
      </c>
      <c r="I43" s="23">
        <f t="shared" si="42"/>
        <v>0</v>
      </c>
      <c r="J43" s="23"/>
      <c r="K43" s="23">
        <f t="shared" si="46"/>
        <v>0.41527777777777791</v>
      </c>
      <c r="L43" s="30">
        <f>(TrCeib11815[[#This Row],[HORA_FIN]]-TrCeib11815[[#This Row],[HORA_INI]])+TrCeib11815[[#This Row],[Tt_tex]]</f>
        <v>2.430555555555558E-2</v>
      </c>
      <c r="M43" s="40"/>
      <c r="N43" s="22"/>
      <c r="O43" t="s">
        <v>109</v>
      </c>
      <c r="P43" s="28">
        <v>2</v>
      </c>
      <c r="Q43" s="23">
        <v>0.44027777777777777</v>
      </c>
      <c r="R43" s="23">
        <f t="shared" si="27"/>
        <v>6.9444444444444198E-3</v>
      </c>
      <c r="S43" s="23">
        <f>VLOOKUP(VeredaTr12916[[#This Row],[HORA_INI]],Ruta2[[HORA]:[iD]],5,TRUE)</f>
        <v>6.9444444444444441E-3</v>
      </c>
      <c r="T43" s="23">
        <f t="shared" si="3"/>
        <v>2.4305555555555556E-2</v>
      </c>
      <c r="U43" s="23">
        <f t="shared" si="53"/>
        <v>0.46458333333333335</v>
      </c>
      <c r="V43" s="23">
        <f t="shared" si="54"/>
        <v>0</v>
      </c>
      <c r="W43" s="23">
        <v>5.5555555555555558E-3</v>
      </c>
      <c r="X43" s="23">
        <f t="shared" si="55"/>
        <v>0.44027777777777777</v>
      </c>
      <c r="Y43" s="30">
        <f>(U43-Q43+VeredaTr12916[[#This Row],[Tt_tex]])</f>
        <v>2.9861111111111137E-2</v>
      </c>
    </row>
    <row r="44" spans="1:25" x14ac:dyDescent="0.35">
      <c r="B44" t="s">
        <v>108</v>
      </c>
      <c r="C44" s="28">
        <v>3</v>
      </c>
      <c r="D44" s="23">
        <v>0.42222222222222222</v>
      </c>
      <c r="E44" s="23">
        <f t="shared" ref="E44:E48" si="56">D44-D43</f>
        <v>6.9444444444443088E-3</v>
      </c>
      <c r="F44" s="23">
        <f>VLOOKUP(TrCeib11815[[#This Row],[HORA_INI]],Ruta1[[HORA]:[iD]],5,TRUE)</f>
        <v>6.9444444444444441E-3</v>
      </c>
      <c r="G44" s="23">
        <f t="shared" si="0"/>
        <v>2.4305555555555556E-2</v>
      </c>
      <c r="H44" s="23">
        <f t="shared" ref="H44:H48" si="57">D44+G44</f>
        <v>0.4465277777777778</v>
      </c>
      <c r="I44" s="23">
        <f t="shared" ref="I44:I48" si="58">+(D43+F44)-D44</f>
        <v>0</v>
      </c>
      <c r="J44" s="23"/>
      <c r="K44" s="23">
        <f t="shared" si="46"/>
        <v>0.42222222222222222</v>
      </c>
      <c r="L44" s="30">
        <f>(TrCeib11815[[#This Row],[HORA_FIN]]-TrCeib11815[[#This Row],[HORA_INI]])+TrCeib11815[[#This Row],[Tt_tex]]</f>
        <v>2.430555555555558E-2</v>
      </c>
      <c r="M44"/>
      <c r="N44" s="22"/>
      <c r="O44" t="s">
        <v>109</v>
      </c>
      <c r="P44" s="28">
        <v>3</v>
      </c>
      <c r="Q44" s="23">
        <v>0.44722222222222224</v>
      </c>
      <c r="R44" s="23">
        <f t="shared" ref="R44:R48" si="59">Q44-Q43</f>
        <v>6.9444444444444753E-3</v>
      </c>
      <c r="S44" s="23">
        <f>VLOOKUP(VeredaTr12916[[#This Row],[HORA_INI]],Ruta2[[HORA]:[iD]],5,TRUE)</f>
        <v>6.9444444444444441E-3</v>
      </c>
      <c r="T44" s="23">
        <f t="shared" si="3"/>
        <v>2.4305555555555556E-2</v>
      </c>
      <c r="U44" s="23">
        <f t="shared" ref="U44:U48" si="60">+Q44+T44</f>
        <v>0.47152777777777782</v>
      </c>
      <c r="V44" s="23">
        <f t="shared" ref="V44:V48" si="61">+(Q43+S44)-Q44</f>
        <v>0</v>
      </c>
      <c r="W44" s="23">
        <v>6.9444444444444447E-4</v>
      </c>
      <c r="X44" s="23">
        <f t="shared" si="55"/>
        <v>0.44722222222222224</v>
      </c>
      <c r="Y44" s="30">
        <f>(U44-Q44+VeredaTr12916[[#This Row],[Tt_tex]])</f>
        <v>2.5000000000000026E-2</v>
      </c>
    </row>
    <row r="45" spans="1:25" x14ac:dyDescent="0.35">
      <c r="B45" t="s">
        <v>108</v>
      </c>
      <c r="C45" s="28">
        <v>4</v>
      </c>
      <c r="D45" s="23">
        <v>0.4298611111111113</v>
      </c>
      <c r="E45" s="23">
        <f t="shared" si="56"/>
        <v>7.6388888888890838E-3</v>
      </c>
      <c r="F45" s="23">
        <f>VLOOKUP(TrCeib11815[[#This Row],[HORA_INI]],Ruta1[[HORA]:[iD]],5,TRUE)</f>
        <v>6.9444444444444441E-3</v>
      </c>
      <c r="G45" s="23">
        <f t="shared" si="0"/>
        <v>2.4305555555555556E-2</v>
      </c>
      <c r="H45" s="23">
        <f t="shared" si="57"/>
        <v>0.45416666666666689</v>
      </c>
      <c r="I45" s="23">
        <f t="shared" si="58"/>
        <v>-6.9444444444466402E-4</v>
      </c>
      <c r="J45" s="23"/>
      <c r="K45" s="23">
        <f t="shared" si="46"/>
        <v>0.42916666666666664</v>
      </c>
      <c r="L45" s="30">
        <f>(TrCeib11815[[#This Row],[HORA_FIN]]-TrCeib11815[[#This Row],[HORA_INI]])+TrCeib11815[[#This Row],[Tt_tex]]</f>
        <v>2.430555555555558E-2</v>
      </c>
      <c r="M45"/>
      <c r="O45" t="s">
        <v>109</v>
      </c>
      <c r="P45" s="28">
        <v>4</v>
      </c>
      <c r="Q45" s="23">
        <v>0.45416666666666689</v>
      </c>
      <c r="R45" s="23">
        <f t="shared" si="59"/>
        <v>6.9444444444446418E-3</v>
      </c>
      <c r="S45" s="23">
        <f>VLOOKUP(VeredaTr12916[[#This Row],[HORA_INI]],Ruta2[[HORA]:[iD]],5,TRUE)</f>
        <v>6.9444444444444441E-3</v>
      </c>
      <c r="T45" s="23">
        <f t="shared" si="3"/>
        <v>2.4305555555555556E-2</v>
      </c>
      <c r="U45" s="23">
        <f t="shared" si="60"/>
        <v>0.47847222222222247</v>
      </c>
      <c r="V45" s="23">
        <f t="shared" si="61"/>
        <v>0</v>
      </c>
      <c r="W45" s="23"/>
      <c r="X45" s="23">
        <f t="shared" ref="X45:X52" si="62">+Q45+V45</f>
        <v>0.45416666666666689</v>
      </c>
      <c r="Y45" s="30">
        <f>(U45-Q45+VeredaTr12916[[#This Row],[Tt_tex]])</f>
        <v>2.430555555555558E-2</v>
      </c>
    </row>
    <row r="46" spans="1:25" x14ac:dyDescent="0.35">
      <c r="B46" t="s">
        <v>108</v>
      </c>
      <c r="C46" s="28">
        <v>10</v>
      </c>
      <c r="D46" s="23">
        <v>0.43680555555555556</v>
      </c>
      <c r="E46" s="23">
        <f t="shared" si="56"/>
        <v>6.9444444444442532E-3</v>
      </c>
      <c r="F46" s="23">
        <f>VLOOKUP(TrCeib11815[[#This Row],[HORA_INI]],Ruta1[[HORA]:[iD]],5,TRUE)</f>
        <v>6.9444444444444441E-3</v>
      </c>
      <c r="G46" s="23">
        <f t="shared" si="0"/>
        <v>2.4305555555555556E-2</v>
      </c>
      <c r="H46" s="23">
        <f t="shared" si="57"/>
        <v>0.46111111111111114</v>
      </c>
      <c r="I46" s="23">
        <f t="shared" si="58"/>
        <v>0</v>
      </c>
      <c r="J46" s="23"/>
      <c r="K46" s="23">
        <f t="shared" ref="K46:K55" si="63">+D46+I46</f>
        <v>0.43680555555555556</v>
      </c>
      <c r="L46" s="30">
        <f>(TrCeib11815[[#This Row],[HORA_FIN]]-TrCeib11815[[#This Row],[HORA_INI]])+TrCeib11815[[#This Row],[Tt_tex]]</f>
        <v>2.430555555555558E-2</v>
      </c>
      <c r="M46"/>
      <c r="O46" t="s">
        <v>109</v>
      </c>
      <c r="P46" s="28">
        <v>10</v>
      </c>
      <c r="Q46" s="23">
        <v>0.46111111111111114</v>
      </c>
      <c r="R46" s="23">
        <f t="shared" si="59"/>
        <v>6.9444444444442532E-3</v>
      </c>
      <c r="S46" s="23">
        <f>VLOOKUP(VeredaTr12916[[#This Row],[HORA_INI]],Ruta2[[HORA]:[iD]],5,TRUE)</f>
        <v>6.9444444444444441E-3</v>
      </c>
      <c r="T46" s="23">
        <f t="shared" si="3"/>
        <v>2.4305555555555556E-2</v>
      </c>
      <c r="U46" s="23">
        <f t="shared" si="60"/>
        <v>0.48541666666666672</v>
      </c>
      <c r="V46" s="23">
        <f t="shared" si="61"/>
        <v>0</v>
      </c>
      <c r="W46" s="23"/>
      <c r="X46" s="23">
        <f t="shared" si="62"/>
        <v>0.46111111111111114</v>
      </c>
      <c r="Y46" s="30">
        <f>(U46-Q46+VeredaTr12916[[#This Row],[Tt_tex]])</f>
        <v>2.430555555555558E-2</v>
      </c>
    </row>
    <row r="47" spans="1:25" x14ac:dyDescent="0.35">
      <c r="B47" t="s">
        <v>108</v>
      </c>
      <c r="C47" s="28">
        <v>6</v>
      </c>
      <c r="D47" s="23">
        <v>0.44444444444444464</v>
      </c>
      <c r="E47" s="23">
        <f t="shared" si="56"/>
        <v>7.6388888888890838E-3</v>
      </c>
      <c r="F47" s="23">
        <f>VLOOKUP(TrCeib11815[[#This Row],[HORA_INI]],Ruta1[[HORA]:[iD]],5,TRUE)</f>
        <v>6.9444444444444441E-3</v>
      </c>
      <c r="G47" s="23">
        <f t="shared" si="0"/>
        <v>2.4305555555555556E-2</v>
      </c>
      <c r="H47" s="23">
        <f t="shared" si="57"/>
        <v>0.46875000000000022</v>
      </c>
      <c r="I47" s="23">
        <f t="shared" si="58"/>
        <v>-6.9444444444466402E-4</v>
      </c>
      <c r="J47" s="23"/>
      <c r="K47" s="23">
        <f t="shared" si="63"/>
        <v>0.44374999999999998</v>
      </c>
      <c r="L47" s="30">
        <f>(TrCeib11815[[#This Row],[HORA_FIN]]-TrCeib11815[[#This Row],[HORA_INI]])+TrCeib11815[[#This Row],[Tt_tex]]</f>
        <v>2.430555555555558E-2</v>
      </c>
      <c r="M47"/>
      <c r="O47" t="s">
        <v>109</v>
      </c>
      <c r="P47" s="28">
        <v>6</v>
      </c>
      <c r="Q47" s="23">
        <v>0.46875000000000022</v>
      </c>
      <c r="R47" s="23">
        <f t="shared" si="59"/>
        <v>7.6388888888890838E-3</v>
      </c>
      <c r="S47" s="23">
        <f>VLOOKUP(VeredaTr12916[[#This Row],[HORA_INI]],Ruta2[[HORA]:[iD]],5,TRUE)</f>
        <v>6.9444444444444441E-3</v>
      </c>
      <c r="T47" s="23">
        <f t="shared" si="3"/>
        <v>2.4305555555555556E-2</v>
      </c>
      <c r="U47" s="23">
        <f t="shared" si="60"/>
        <v>0.4930555555555558</v>
      </c>
      <c r="V47" s="23">
        <f t="shared" si="61"/>
        <v>-6.9444444444466402E-4</v>
      </c>
      <c r="W47" s="23"/>
      <c r="X47" s="23">
        <f t="shared" si="62"/>
        <v>0.46805555555555556</v>
      </c>
      <c r="Y47" s="30">
        <f>(U47-Q47+VeredaTr12916[[#This Row],[Tt_tex]])</f>
        <v>2.430555555555558E-2</v>
      </c>
    </row>
    <row r="48" spans="1:25" x14ac:dyDescent="0.35">
      <c r="B48" t="s">
        <v>108</v>
      </c>
      <c r="C48" s="28">
        <v>7</v>
      </c>
      <c r="D48" s="23">
        <v>0.4513888888888889</v>
      </c>
      <c r="E48" s="23">
        <f t="shared" si="56"/>
        <v>6.9444444444442532E-3</v>
      </c>
      <c r="F48" s="23">
        <f>VLOOKUP(TrCeib11815[[#This Row],[HORA_INI]],Ruta1[[HORA]:[iD]],5,TRUE)</f>
        <v>6.9444444444444441E-3</v>
      </c>
      <c r="G48" s="23">
        <f t="shared" si="0"/>
        <v>2.4305555555555556E-2</v>
      </c>
      <c r="H48" s="23">
        <f t="shared" si="57"/>
        <v>0.47569444444444448</v>
      </c>
      <c r="I48" s="23">
        <f t="shared" si="58"/>
        <v>0</v>
      </c>
      <c r="J48" s="23"/>
      <c r="K48" s="23">
        <f t="shared" si="63"/>
        <v>0.4513888888888889</v>
      </c>
      <c r="L48" s="30">
        <f>(TrCeib11815[[#This Row],[HORA_FIN]]-TrCeib11815[[#This Row],[HORA_INI]])+TrCeib11815[[#This Row],[Tt_tex]]</f>
        <v>2.430555555555558E-2</v>
      </c>
      <c r="M48"/>
      <c r="O48" t="s">
        <v>109</v>
      </c>
      <c r="P48" s="28">
        <v>7</v>
      </c>
      <c r="Q48" s="23">
        <v>0.47569444444444448</v>
      </c>
      <c r="R48" s="23">
        <f t="shared" si="59"/>
        <v>6.9444444444442532E-3</v>
      </c>
      <c r="S48" s="23">
        <f>VLOOKUP(VeredaTr12916[[#This Row],[HORA_INI]],Ruta2[[HORA]:[iD]],5,TRUE)</f>
        <v>6.9444444444444441E-3</v>
      </c>
      <c r="T48" s="23">
        <f t="shared" si="3"/>
        <v>2.4305555555555556E-2</v>
      </c>
      <c r="U48" s="23">
        <f t="shared" si="60"/>
        <v>0.5</v>
      </c>
      <c r="V48" s="23">
        <f t="shared" si="61"/>
        <v>0</v>
      </c>
      <c r="W48" s="23"/>
      <c r="X48" s="23">
        <f t="shared" si="62"/>
        <v>0.47569444444444448</v>
      </c>
      <c r="Y48" s="30">
        <f>(U48-Q48+VeredaTr12916[[#This Row],[Tt_tex]])</f>
        <v>2.4305555555555525E-2</v>
      </c>
    </row>
    <row r="49" spans="2:25" x14ac:dyDescent="0.35">
      <c r="B49" t="s">
        <v>108</v>
      </c>
      <c r="C49" s="28">
        <v>1</v>
      </c>
      <c r="D49" s="23">
        <v>0.45763888888888893</v>
      </c>
      <c r="E49" s="23">
        <f t="shared" ref="E49:E70" si="64">D49-D48</f>
        <v>6.2500000000000333E-3</v>
      </c>
      <c r="F49" s="23">
        <f>VLOOKUP(TrCeib11815[[#This Row],[HORA_INI]],Ruta1[[HORA]:[iD]],5,TRUE)</f>
        <v>6.9444444444444441E-3</v>
      </c>
      <c r="G49" s="23">
        <f t="shared" si="0"/>
        <v>2.4305555555555556E-2</v>
      </c>
      <c r="H49" s="23">
        <f t="shared" ref="H49:H70" si="65">D49+G49</f>
        <v>0.48194444444444451</v>
      </c>
      <c r="I49" s="23">
        <f t="shared" ref="I49:I70" si="66">+(D48+F49)-D49</f>
        <v>6.9444444444438647E-4</v>
      </c>
      <c r="J49" s="23"/>
      <c r="K49" s="23">
        <f t="shared" si="63"/>
        <v>0.45833333333333331</v>
      </c>
      <c r="L49" s="30">
        <f>(TrCeib11815[[#This Row],[HORA_FIN]]-TrCeib11815[[#This Row],[HORA_INI]])+TrCeib11815[[#This Row],[Tt_tex]]</f>
        <v>2.430555555555558E-2</v>
      </c>
      <c r="M49"/>
      <c r="O49" t="s">
        <v>109</v>
      </c>
      <c r="P49" s="28">
        <v>1</v>
      </c>
      <c r="Q49" s="23">
        <v>0.48194444444444451</v>
      </c>
      <c r="R49" s="23">
        <f t="shared" si="27"/>
        <v>6.2500000000000333E-3</v>
      </c>
      <c r="S49" s="23">
        <f>VLOOKUP(VeredaTr12916[[#This Row],[HORA_INI]],Ruta2[[HORA]:[iD]],5,TRUE)</f>
        <v>6.9444444444444441E-3</v>
      </c>
      <c r="T49" s="23">
        <f t="shared" si="3"/>
        <v>2.4305555555555556E-2</v>
      </c>
      <c r="U49" s="23">
        <f t="shared" si="53"/>
        <v>0.50625000000000009</v>
      </c>
      <c r="V49" s="23">
        <f t="shared" si="54"/>
        <v>6.9444444444438647E-4</v>
      </c>
      <c r="W49" s="23"/>
      <c r="X49" s="23">
        <f t="shared" si="62"/>
        <v>0.4826388888888889</v>
      </c>
      <c r="Y49" s="30">
        <f>(U49-Q49+VeredaTr12916[[#This Row],[Tt_tex]])</f>
        <v>2.430555555555558E-2</v>
      </c>
    </row>
    <row r="50" spans="2:25" x14ac:dyDescent="0.35">
      <c r="B50" t="s">
        <v>108</v>
      </c>
      <c r="C50" s="28">
        <v>2</v>
      </c>
      <c r="D50" s="23">
        <v>0.46458333333333335</v>
      </c>
      <c r="E50" s="23">
        <f t="shared" si="64"/>
        <v>6.9444444444444198E-3</v>
      </c>
      <c r="F50" s="23">
        <f>VLOOKUP(TrCeib11815[[#This Row],[HORA_INI]],Ruta1[[HORA]:[iD]],5,TRUE)</f>
        <v>6.9444444444444441E-3</v>
      </c>
      <c r="G50" s="23">
        <f t="shared" si="0"/>
        <v>2.4305555555555556E-2</v>
      </c>
      <c r="H50" s="23">
        <f t="shared" si="65"/>
        <v>0.48888888888888893</v>
      </c>
      <c r="I50" s="23">
        <f t="shared" si="66"/>
        <v>0</v>
      </c>
      <c r="J50" s="23"/>
      <c r="K50" s="23">
        <f t="shared" si="63"/>
        <v>0.46458333333333335</v>
      </c>
      <c r="L50" s="30">
        <f>(TrCeib11815[[#This Row],[HORA_FIN]]-TrCeib11815[[#This Row],[HORA_INI]])+TrCeib11815[[#This Row],[Tt_tex]]</f>
        <v>2.430555555555558E-2</v>
      </c>
      <c r="M50"/>
      <c r="O50" t="s">
        <v>109</v>
      </c>
      <c r="P50" s="28">
        <v>2</v>
      </c>
      <c r="Q50" s="23">
        <v>0.48888888888888893</v>
      </c>
      <c r="R50" s="23">
        <f t="shared" si="27"/>
        <v>6.9444444444444198E-3</v>
      </c>
      <c r="S50" s="23">
        <f>VLOOKUP(VeredaTr12916[[#This Row],[HORA_INI]],Ruta2[[HORA]:[iD]],5,TRUE)</f>
        <v>6.9444444444444441E-3</v>
      </c>
      <c r="T50" s="23">
        <f t="shared" si="3"/>
        <v>2.4305555555555556E-2</v>
      </c>
      <c r="U50" s="23">
        <f t="shared" si="53"/>
        <v>0.51319444444444451</v>
      </c>
      <c r="V50" s="23">
        <f t="shared" si="54"/>
        <v>0</v>
      </c>
      <c r="W50" s="23"/>
      <c r="X50" s="23">
        <f t="shared" si="62"/>
        <v>0.48888888888888893</v>
      </c>
      <c r="Y50" s="30">
        <f>(U50-Q50+VeredaTr12916[[#This Row],[Tt_tex]])</f>
        <v>2.430555555555558E-2</v>
      </c>
    </row>
    <row r="51" spans="2:25" x14ac:dyDescent="0.35">
      <c r="B51" t="s">
        <v>108</v>
      </c>
      <c r="C51" s="28">
        <v>3</v>
      </c>
      <c r="D51" s="23">
        <v>0.47152777777777782</v>
      </c>
      <c r="E51" s="23">
        <f t="shared" si="64"/>
        <v>6.9444444444444753E-3</v>
      </c>
      <c r="F51" s="23">
        <f>VLOOKUP(TrCeib11815[[#This Row],[HORA_INI]],Ruta1[[HORA]:[iD]],5,TRUE)</f>
        <v>6.9444444444444441E-3</v>
      </c>
      <c r="G51" s="23">
        <f t="shared" si="0"/>
        <v>2.4305555555555556E-2</v>
      </c>
      <c r="H51" s="23">
        <f t="shared" si="65"/>
        <v>0.4958333333333334</v>
      </c>
      <c r="I51" s="23">
        <f t="shared" si="66"/>
        <v>0</v>
      </c>
      <c r="J51" s="23"/>
      <c r="K51" s="23">
        <f t="shared" si="63"/>
        <v>0.47152777777777782</v>
      </c>
      <c r="L51" s="30">
        <f>(TrCeib11815[[#This Row],[HORA_FIN]]-TrCeib11815[[#This Row],[HORA_INI]])+TrCeib11815[[#This Row],[Tt_tex]]</f>
        <v>2.430555555555558E-2</v>
      </c>
      <c r="M51" s="40"/>
      <c r="O51" t="s">
        <v>109</v>
      </c>
      <c r="P51" s="28">
        <v>3</v>
      </c>
      <c r="Q51" s="23">
        <v>0.4958333333333334</v>
      </c>
      <c r="R51" s="23">
        <f t="shared" si="27"/>
        <v>6.9444444444444753E-3</v>
      </c>
      <c r="S51" s="23">
        <f>VLOOKUP(VeredaTr12916[[#This Row],[HORA_INI]],Ruta2[[HORA]:[iD]],5,TRUE)</f>
        <v>6.9444444444444441E-3</v>
      </c>
      <c r="T51" s="23">
        <f t="shared" si="3"/>
        <v>2.4305555555555556E-2</v>
      </c>
      <c r="U51" s="23">
        <f t="shared" si="53"/>
        <v>0.52013888888888893</v>
      </c>
      <c r="V51" s="23">
        <f t="shared" si="54"/>
        <v>0</v>
      </c>
      <c r="W51" s="23"/>
      <c r="X51" s="23">
        <f t="shared" si="62"/>
        <v>0.4958333333333334</v>
      </c>
      <c r="Y51" s="30">
        <f>(U51-Q51+VeredaTr12916[[#This Row],[Tt_tex]])</f>
        <v>2.4305555555555525E-2</v>
      </c>
    </row>
    <row r="52" spans="2:25" x14ac:dyDescent="0.35">
      <c r="B52" t="s">
        <v>108</v>
      </c>
      <c r="C52" s="28">
        <v>4</v>
      </c>
      <c r="D52" s="23">
        <v>0.47847222222222247</v>
      </c>
      <c r="E52" s="23">
        <f t="shared" si="64"/>
        <v>6.9444444444446418E-3</v>
      </c>
      <c r="F52" s="23">
        <f>VLOOKUP(TrCeib11815[[#This Row],[HORA_INI]],Ruta1[[HORA]:[iD]],5,TRUE)</f>
        <v>6.9444444444444441E-3</v>
      </c>
      <c r="G52" s="23">
        <f t="shared" si="0"/>
        <v>2.4305555555555556E-2</v>
      </c>
      <c r="H52" s="23">
        <f t="shared" si="65"/>
        <v>0.50277777777777799</v>
      </c>
      <c r="I52" s="23">
        <f t="shared" si="66"/>
        <v>0</v>
      </c>
      <c r="J52" s="23"/>
      <c r="K52" s="23">
        <f t="shared" si="63"/>
        <v>0.47847222222222247</v>
      </c>
      <c r="L52" s="30">
        <f>(TrCeib11815[[#This Row],[HORA_FIN]]-TrCeib11815[[#This Row],[HORA_INI]])+TrCeib11815[[#This Row],[Tt_tex]]</f>
        <v>2.4305555555555525E-2</v>
      </c>
      <c r="M52"/>
      <c r="O52" t="s">
        <v>109</v>
      </c>
      <c r="P52" s="28">
        <v>4</v>
      </c>
      <c r="Q52" s="23">
        <v>0.50277777777777799</v>
      </c>
      <c r="R52" s="23">
        <f t="shared" si="27"/>
        <v>6.9444444444445863E-3</v>
      </c>
      <c r="S52" s="23">
        <f>VLOOKUP(VeredaTr12916[[#This Row],[HORA_INI]],Ruta2[[HORA]:[iD]],5,TRUE)</f>
        <v>6.9444444444444441E-3</v>
      </c>
      <c r="T52" s="23">
        <f t="shared" si="3"/>
        <v>2.4305555555555556E-2</v>
      </c>
      <c r="U52" s="23">
        <f t="shared" si="53"/>
        <v>0.52708333333333357</v>
      </c>
      <c r="V52" s="23">
        <f t="shared" si="54"/>
        <v>0</v>
      </c>
      <c r="W52" s="23"/>
      <c r="X52" s="23">
        <f t="shared" si="62"/>
        <v>0.50277777777777799</v>
      </c>
      <c r="Y52" s="30">
        <f>(U52-Q52+VeredaTr12916[[#This Row],[Tt_tex]])</f>
        <v>2.430555555555558E-2</v>
      </c>
    </row>
    <row r="53" spans="2:25" x14ac:dyDescent="0.35">
      <c r="B53" t="s">
        <v>108</v>
      </c>
      <c r="C53" s="28">
        <v>10</v>
      </c>
      <c r="D53" s="23">
        <v>0.48541666666666672</v>
      </c>
      <c r="E53" s="23">
        <f t="shared" si="64"/>
        <v>6.9444444444442532E-3</v>
      </c>
      <c r="F53" s="23">
        <f>VLOOKUP(TrCeib11815[[#This Row],[HORA_INI]],Ruta1[[HORA]:[iD]],5,TRUE)</f>
        <v>6.9444444444444441E-3</v>
      </c>
      <c r="G53" s="23">
        <f t="shared" si="0"/>
        <v>2.4305555555555556E-2</v>
      </c>
      <c r="H53" s="23">
        <f t="shared" si="65"/>
        <v>0.5097222222222223</v>
      </c>
      <c r="I53" s="23">
        <f t="shared" si="66"/>
        <v>0</v>
      </c>
      <c r="J53" s="23"/>
      <c r="K53" s="23">
        <f t="shared" si="63"/>
        <v>0.48541666666666672</v>
      </c>
      <c r="L53" s="30">
        <f>(TrCeib11815[[#This Row],[HORA_FIN]]-TrCeib11815[[#This Row],[HORA_INI]])+TrCeib11815[[#This Row],[Tt_tex]]</f>
        <v>2.430555555555558E-2</v>
      </c>
      <c r="M53"/>
      <c r="O53" t="s">
        <v>109</v>
      </c>
      <c r="P53" s="28">
        <v>10</v>
      </c>
      <c r="Q53" s="23">
        <v>0.5097222222222223</v>
      </c>
      <c r="R53" s="23">
        <f t="shared" si="27"/>
        <v>6.9444444444443088E-3</v>
      </c>
      <c r="S53" s="23">
        <f>VLOOKUP(VeredaTr12916[[#This Row],[HORA_INI]],Ruta2[[HORA]:[iD]],5,TRUE)</f>
        <v>6.9444444444444441E-3</v>
      </c>
      <c r="T53" s="23">
        <f t="shared" si="3"/>
        <v>2.4305555555555556E-2</v>
      </c>
      <c r="U53" s="23">
        <f t="shared" si="53"/>
        <v>0.53402777777777788</v>
      </c>
      <c r="V53" s="23">
        <f t="shared" si="54"/>
        <v>0</v>
      </c>
      <c r="W53" s="23"/>
      <c r="X53" s="23">
        <f t="shared" ref="X53:X60" si="67">+Q53+V53</f>
        <v>0.5097222222222223</v>
      </c>
      <c r="Y53" s="30">
        <f>(U53-Q53+VeredaTr12916[[#This Row],[Tt_tex]])</f>
        <v>2.430555555555558E-2</v>
      </c>
    </row>
    <row r="54" spans="2:25" x14ac:dyDescent="0.35">
      <c r="B54" t="s">
        <v>108</v>
      </c>
      <c r="C54" s="28">
        <v>6</v>
      </c>
      <c r="D54" s="23">
        <v>0.4930555555555558</v>
      </c>
      <c r="E54" s="23">
        <f t="shared" si="64"/>
        <v>7.6388888888890838E-3</v>
      </c>
      <c r="F54" s="23">
        <f>VLOOKUP(TrCeib11815[[#This Row],[HORA_INI]],Ruta1[[HORA]:[iD]],5,TRUE)</f>
        <v>6.9444444444444441E-3</v>
      </c>
      <c r="G54" s="23">
        <f t="shared" si="0"/>
        <v>2.4305555555555556E-2</v>
      </c>
      <c r="H54" s="23">
        <f t="shared" si="65"/>
        <v>0.51736111111111138</v>
      </c>
      <c r="I54" s="23">
        <f t="shared" si="66"/>
        <v>-6.9444444444466402E-4</v>
      </c>
      <c r="J54" s="23"/>
      <c r="K54" s="23">
        <f t="shared" si="63"/>
        <v>0.49236111111111114</v>
      </c>
      <c r="L54" s="30">
        <f>(TrCeib11815[[#This Row],[HORA_FIN]]-TrCeib11815[[#This Row],[HORA_INI]])+TrCeib11815[[#This Row],[Tt_tex]]</f>
        <v>2.430555555555558E-2</v>
      </c>
      <c r="M54"/>
      <c r="O54" t="s">
        <v>109</v>
      </c>
      <c r="P54" s="28">
        <v>6</v>
      </c>
      <c r="Q54" s="23">
        <v>0.51736111111111138</v>
      </c>
      <c r="R54" s="23">
        <f t="shared" si="27"/>
        <v>7.6388888888890838E-3</v>
      </c>
      <c r="S54" s="23">
        <f>VLOOKUP(VeredaTr12916[[#This Row],[HORA_INI]],Ruta2[[HORA]:[iD]],5,TRUE)</f>
        <v>6.9444444444444441E-3</v>
      </c>
      <c r="T54" s="23">
        <f t="shared" si="3"/>
        <v>2.4305555555555556E-2</v>
      </c>
      <c r="U54" s="23">
        <f t="shared" si="53"/>
        <v>0.54166666666666696</v>
      </c>
      <c r="V54" s="23">
        <f t="shared" si="54"/>
        <v>-6.9444444444466402E-4</v>
      </c>
      <c r="W54" s="23"/>
      <c r="X54" s="23">
        <f t="shared" si="67"/>
        <v>0.51666666666666672</v>
      </c>
      <c r="Y54" s="30">
        <f>(U54-Q54+VeredaTr12916[[#This Row],[Tt_tex]])</f>
        <v>2.430555555555558E-2</v>
      </c>
    </row>
    <row r="55" spans="2:25" x14ac:dyDescent="0.35">
      <c r="B55" t="s">
        <v>108</v>
      </c>
      <c r="C55" s="28">
        <v>7</v>
      </c>
      <c r="D55" s="23">
        <v>0.5</v>
      </c>
      <c r="E55" s="23">
        <f t="shared" si="64"/>
        <v>6.9444444444441977E-3</v>
      </c>
      <c r="F55" s="23">
        <f>VLOOKUP(TrCeib11815[[#This Row],[HORA_INI]],Ruta1[[HORA]:[iD]],5,TRUE)</f>
        <v>6.9444444444444441E-3</v>
      </c>
      <c r="G55" s="23">
        <f t="shared" si="0"/>
        <v>2.4305555555555556E-2</v>
      </c>
      <c r="H55" s="23">
        <f t="shared" si="65"/>
        <v>0.52430555555555558</v>
      </c>
      <c r="I55" s="23">
        <f t="shared" si="66"/>
        <v>0</v>
      </c>
      <c r="J55" s="23"/>
      <c r="K55" s="23">
        <f t="shared" si="63"/>
        <v>0.5</v>
      </c>
      <c r="L55" s="30">
        <f>(TrCeib11815[[#This Row],[HORA_FIN]]-TrCeib11815[[#This Row],[HORA_INI]])+TrCeib11815[[#This Row],[Tt_tex]]</f>
        <v>2.430555555555558E-2</v>
      </c>
      <c r="M55"/>
      <c r="O55" t="s">
        <v>109</v>
      </c>
      <c r="P55" s="28">
        <v>7</v>
      </c>
      <c r="Q55" s="23">
        <v>0.52430555555555558</v>
      </c>
      <c r="R55" s="23">
        <f t="shared" si="27"/>
        <v>6.9444444444441977E-3</v>
      </c>
      <c r="S55" s="23">
        <f>VLOOKUP(VeredaTr12916[[#This Row],[HORA_INI]],Ruta2[[HORA]:[iD]],5,TRUE)</f>
        <v>6.9444444444444441E-3</v>
      </c>
      <c r="T55" s="23">
        <f t="shared" si="3"/>
        <v>2.4305555555555556E-2</v>
      </c>
      <c r="U55" s="23">
        <f t="shared" si="53"/>
        <v>0.54861111111111116</v>
      </c>
      <c r="V55" s="23">
        <f t="shared" si="54"/>
        <v>0</v>
      </c>
      <c r="W55" s="23"/>
      <c r="X55" s="23">
        <f t="shared" si="67"/>
        <v>0.52430555555555558</v>
      </c>
      <c r="Y55" s="30">
        <f>(U55-Q55+VeredaTr12916[[#This Row],[Tt_tex]])</f>
        <v>2.430555555555558E-2</v>
      </c>
    </row>
    <row r="56" spans="2:25" x14ac:dyDescent="0.35">
      <c r="B56" t="s">
        <v>108</v>
      </c>
      <c r="C56" s="28">
        <v>1</v>
      </c>
      <c r="D56" s="23">
        <v>0.50625000000000009</v>
      </c>
      <c r="E56" s="23">
        <f t="shared" si="64"/>
        <v>6.2500000000000888E-3</v>
      </c>
      <c r="F56" s="23">
        <f>VLOOKUP(TrCeib11815[[#This Row],[HORA_INI]],Ruta1[[HORA]:[iD]],5,TRUE)</f>
        <v>6.9444444444444441E-3</v>
      </c>
      <c r="G56" s="23">
        <f t="shared" si="0"/>
        <v>2.4305555555555556E-2</v>
      </c>
      <c r="H56" s="23">
        <f t="shared" si="65"/>
        <v>0.53055555555555567</v>
      </c>
      <c r="I56" s="23">
        <f t="shared" si="66"/>
        <v>6.9444444444433095E-4</v>
      </c>
      <c r="J56" s="23"/>
      <c r="K56" s="23">
        <f t="shared" ref="K56:K59" si="68">+D56+I56</f>
        <v>0.50694444444444442</v>
      </c>
      <c r="L56" s="30">
        <f>(TrCeib11815[[#This Row],[HORA_FIN]]-TrCeib11815[[#This Row],[HORA_INI]])+TrCeib11815[[#This Row],[Tt_tex]]</f>
        <v>2.430555555555558E-2</v>
      </c>
      <c r="M56"/>
      <c r="O56" t="s">
        <v>109</v>
      </c>
      <c r="P56" s="28">
        <v>1</v>
      </c>
      <c r="Q56" s="23">
        <v>0.53055555555555567</v>
      </c>
      <c r="R56" s="23">
        <f t="shared" si="27"/>
        <v>6.2500000000000888E-3</v>
      </c>
      <c r="S56" s="23">
        <f>VLOOKUP(VeredaTr12916[[#This Row],[HORA_INI]],Ruta2[[HORA]:[iD]],5,TRUE)</f>
        <v>6.9444444444444441E-3</v>
      </c>
      <c r="T56" s="23">
        <f t="shared" si="3"/>
        <v>2.4305555555555556E-2</v>
      </c>
      <c r="U56" s="23">
        <f t="shared" si="53"/>
        <v>0.55486111111111125</v>
      </c>
      <c r="V56" s="23">
        <f t="shared" si="54"/>
        <v>6.9444444444433095E-4</v>
      </c>
      <c r="W56" s="23"/>
      <c r="X56" s="23">
        <f t="shared" si="67"/>
        <v>0.53125</v>
      </c>
      <c r="Y56" s="30">
        <f>(U56-Q56+VeredaTr12916[[#This Row],[Tt_tex]])</f>
        <v>2.430555555555558E-2</v>
      </c>
    </row>
    <row r="57" spans="2:25" x14ac:dyDescent="0.35">
      <c r="B57" t="s">
        <v>108</v>
      </c>
      <c r="C57" s="28">
        <v>2</v>
      </c>
      <c r="D57" s="23">
        <v>0.51319444444444451</v>
      </c>
      <c r="E57" s="23">
        <f t="shared" si="64"/>
        <v>6.9444444444444198E-3</v>
      </c>
      <c r="F57" s="23">
        <f>VLOOKUP(TrCeib11815[[#This Row],[HORA_INI]],Ruta1[[HORA]:[iD]],5,TRUE)</f>
        <v>6.9444444444444441E-3</v>
      </c>
      <c r="G57" s="23">
        <f t="shared" si="0"/>
        <v>2.4305555555555556E-2</v>
      </c>
      <c r="H57" s="23">
        <f t="shared" si="65"/>
        <v>0.53750000000000009</v>
      </c>
      <c r="I57" s="23">
        <f t="shared" si="66"/>
        <v>0</v>
      </c>
      <c r="J57" s="23"/>
      <c r="K57" s="23">
        <f t="shared" si="68"/>
        <v>0.51319444444444451</v>
      </c>
      <c r="L57" s="30">
        <f>(TrCeib11815[[#This Row],[HORA_FIN]]-TrCeib11815[[#This Row],[HORA_INI]])+TrCeib11815[[#This Row],[Tt_tex]]</f>
        <v>2.430555555555558E-2</v>
      </c>
      <c r="M57"/>
      <c r="O57" t="s">
        <v>109</v>
      </c>
      <c r="P57" s="28">
        <v>2</v>
      </c>
      <c r="Q57" s="23">
        <v>0.53750000000000009</v>
      </c>
      <c r="R57" s="23">
        <f t="shared" si="27"/>
        <v>6.9444444444444198E-3</v>
      </c>
      <c r="S57" s="23">
        <f>VLOOKUP(VeredaTr12916[[#This Row],[HORA_INI]],Ruta2[[HORA]:[iD]],5,TRUE)</f>
        <v>6.9444444444444441E-3</v>
      </c>
      <c r="T57" s="23">
        <f t="shared" si="3"/>
        <v>2.4305555555555556E-2</v>
      </c>
      <c r="U57" s="23">
        <f t="shared" si="53"/>
        <v>0.56180555555555567</v>
      </c>
      <c r="V57" s="23">
        <f t="shared" si="54"/>
        <v>0</v>
      </c>
      <c r="W57" s="23"/>
      <c r="X57" s="23">
        <f t="shared" si="67"/>
        <v>0.53750000000000009</v>
      </c>
      <c r="Y57" s="30">
        <f>(U57-Q57+VeredaTr12916[[#This Row],[Tt_tex]])</f>
        <v>2.430555555555558E-2</v>
      </c>
    </row>
    <row r="58" spans="2:25" x14ac:dyDescent="0.35">
      <c r="B58" t="s">
        <v>108</v>
      </c>
      <c r="C58" s="28">
        <v>3</v>
      </c>
      <c r="D58" s="23">
        <v>0.52013888888888893</v>
      </c>
      <c r="E58" s="23">
        <f t="shared" si="64"/>
        <v>6.9444444444444198E-3</v>
      </c>
      <c r="F58" s="23">
        <f>VLOOKUP(TrCeib11815[[#This Row],[HORA_INI]],Ruta1[[HORA]:[iD]],5,TRUE)</f>
        <v>6.9444444444444441E-3</v>
      </c>
      <c r="G58" s="23">
        <f t="shared" si="0"/>
        <v>2.4305555555555556E-2</v>
      </c>
      <c r="H58" s="23">
        <f t="shared" si="65"/>
        <v>0.54444444444444451</v>
      </c>
      <c r="I58" s="23">
        <f t="shared" si="66"/>
        <v>0</v>
      </c>
      <c r="J58" s="23"/>
      <c r="K58" s="23">
        <f t="shared" si="68"/>
        <v>0.52013888888888893</v>
      </c>
      <c r="L58" s="30">
        <f>(TrCeib11815[[#This Row],[HORA_FIN]]-TrCeib11815[[#This Row],[HORA_INI]])+TrCeib11815[[#This Row],[Tt_tex]]</f>
        <v>2.430555555555558E-2</v>
      </c>
      <c r="M58"/>
      <c r="O58" t="s">
        <v>109</v>
      </c>
      <c r="P58" s="28">
        <v>3</v>
      </c>
      <c r="Q58" s="23">
        <v>0.54444444444444451</v>
      </c>
      <c r="R58" s="23">
        <f t="shared" si="27"/>
        <v>6.9444444444444198E-3</v>
      </c>
      <c r="S58" s="23">
        <f>VLOOKUP(VeredaTr12916[[#This Row],[HORA_INI]],Ruta2[[HORA]:[iD]],5,TRUE)</f>
        <v>6.9444444444444441E-3</v>
      </c>
      <c r="T58" s="23">
        <f t="shared" si="3"/>
        <v>2.4305555555555556E-2</v>
      </c>
      <c r="U58" s="23">
        <f t="shared" si="53"/>
        <v>0.56875000000000009</v>
      </c>
      <c r="V58" s="23">
        <f t="shared" si="54"/>
        <v>0</v>
      </c>
      <c r="W58" s="23"/>
      <c r="X58" s="23">
        <f t="shared" si="67"/>
        <v>0.54444444444444451</v>
      </c>
      <c r="Y58" s="30">
        <f>(U58-Q58+VeredaTr12916[[#This Row],[Tt_tex]])</f>
        <v>2.430555555555558E-2</v>
      </c>
    </row>
    <row r="59" spans="2:25" x14ac:dyDescent="0.35">
      <c r="B59" t="s">
        <v>108</v>
      </c>
      <c r="C59" s="28">
        <v>4</v>
      </c>
      <c r="D59" s="23">
        <v>0.52708333333333357</v>
      </c>
      <c r="E59" s="23">
        <f t="shared" si="64"/>
        <v>6.9444444444446418E-3</v>
      </c>
      <c r="F59" s="23">
        <f>VLOOKUP(TrCeib11815[[#This Row],[HORA_INI]],Ruta1[[HORA]:[iD]],5,TRUE)</f>
        <v>6.9444444444444441E-3</v>
      </c>
      <c r="G59" s="23">
        <f t="shared" si="0"/>
        <v>2.4305555555555556E-2</v>
      </c>
      <c r="H59" s="23">
        <f t="shared" si="65"/>
        <v>0.55138888888888915</v>
      </c>
      <c r="I59" s="23">
        <f t="shared" si="66"/>
        <v>0</v>
      </c>
      <c r="J59" s="23"/>
      <c r="K59" s="23">
        <f t="shared" si="68"/>
        <v>0.52708333333333357</v>
      </c>
      <c r="L59" s="30">
        <f>(TrCeib11815[[#This Row],[HORA_FIN]]-TrCeib11815[[#This Row],[HORA_INI]])+TrCeib11815[[#This Row],[Tt_tex]]</f>
        <v>2.430555555555558E-2</v>
      </c>
      <c r="M59"/>
      <c r="O59" t="s">
        <v>109</v>
      </c>
      <c r="P59" s="28">
        <v>4</v>
      </c>
      <c r="Q59" s="23">
        <v>0.55138888888888915</v>
      </c>
      <c r="R59" s="23">
        <f t="shared" si="27"/>
        <v>6.9444444444446418E-3</v>
      </c>
      <c r="S59" s="23">
        <f>VLOOKUP(VeredaTr12916[[#This Row],[HORA_INI]],Ruta2[[HORA]:[iD]],5,TRUE)</f>
        <v>6.9444444444444441E-3</v>
      </c>
      <c r="T59" s="23">
        <f t="shared" si="3"/>
        <v>2.4305555555555556E-2</v>
      </c>
      <c r="U59" s="23">
        <f t="shared" si="53"/>
        <v>0.57569444444444473</v>
      </c>
      <c r="V59" s="23">
        <f t="shared" si="54"/>
        <v>0</v>
      </c>
      <c r="W59" s="23"/>
      <c r="X59" s="23">
        <f t="shared" si="67"/>
        <v>0.55138888888888915</v>
      </c>
      <c r="Y59" s="30">
        <f>(U59-Q59+VeredaTr12916[[#This Row],[Tt_tex]])</f>
        <v>2.430555555555558E-2</v>
      </c>
    </row>
    <row r="60" spans="2:25" x14ac:dyDescent="0.35">
      <c r="B60" t="s">
        <v>108</v>
      </c>
      <c r="C60" s="28">
        <v>10</v>
      </c>
      <c r="D60" s="23">
        <v>0.53402777777777788</v>
      </c>
      <c r="E60" s="23">
        <f t="shared" si="64"/>
        <v>6.9444444444443088E-3</v>
      </c>
      <c r="F60" s="23">
        <f>VLOOKUP(TrCeib11815[[#This Row],[HORA_INI]],Ruta1[[HORA]:[iD]],5,TRUE)</f>
        <v>6.9444444444444441E-3</v>
      </c>
      <c r="G60" s="23">
        <f t="shared" si="0"/>
        <v>2.4305555555555556E-2</v>
      </c>
      <c r="H60" s="23">
        <f t="shared" si="65"/>
        <v>0.55833333333333346</v>
      </c>
      <c r="I60" s="23">
        <f t="shared" si="66"/>
        <v>0</v>
      </c>
      <c r="J60" s="23"/>
      <c r="K60" s="23">
        <f t="shared" ref="K60:K67" si="69">+D60+I60</f>
        <v>0.53402777777777788</v>
      </c>
      <c r="L60" s="30">
        <f>(TrCeib11815[[#This Row],[HORA_FIN]]-TrCeib11815[[#This Row],[HORA_INI]])+TrCeib11815[[#This Row],[Tt_tex]]</f>
        <v>2.430555555555558E-2</v>
      </c>
      <c r="M60"/>
      <c r="O60" t="s">
        <v>109</v>
      </c>
      <c r="P60" s="28">
        <v>10</v>
      </c>
      <c r="Q60" s="23">
        <v>0.55833333333333346</v>
      </c>
      <c r="R60" s="23">
        <f t="shared" si="27"/>
        <v>6.9444444444443088E-3</v>
      </c>
      <c r="S60" s="23">
        <f>VLOOKUP(VeredaTr12916[[#This Row],[HORA_INI]],Ruta2[[HORA]:[iD]],5,TRUE)</f>
        <v>6.9444444444444441E-3</v>
      </c>
      <c r="T60" s="23">
        <f t="shared" si="3"/>
        <v>2.4305555555555556E-2</v>
      </c>
      <c r="U60" s="23">
        <f t="shared" si="53"/>
        <v>0.58263888888888904</v>
      </c>
      <c r="V60" s="23">
        <f t="shared" si="54"/>
        <v>0</v>
      </c>
      <c r="W60" s="23"/>
      <c r="X60" s="23">
        <f t="shared" si="67"/>
        <v>0.55833333333333346</v>
      </c>
      <c r="Y60" s="30">
        <f>(U60-Q60+VeredaTr12916[[#This Row],[Tt_tex]])</f>
        <v>2.430555555555558E-2</v>
      </c>
    </row>
    <row r="61" spans="2:25" x14ac:dyDescent="0.35">
      <c r="B61" t="s">
        <v>108</v>
      </c>
      <c r="C61" s="28">
        <v>6</v>
      </c>
      <c r="D61" s="23">
        <v>0.54166666666666696</v>
      </c>
      <c r="E61" s="23">
        <f t="shared" si="64"/>
        <v>7.6388888888890838E-3</v>
      </c>
      <c r="F61" s="23">
        <f>VLOOKUP(TrCeib11815[[#This Row],[HORA_INI]],Ruta1[[HORA]:[iD]],5,TRUE)</f>
        <v>6.9444444444444441E-3</v>
      </c>
      <c r="G61" s="23">
        <f t="shared" si="0"/>
        <v>2.4305555555555556E-2</v>
      </c>
      <c r="H61" s="23">
        <f t="shared" si="65"/>
        <v>0.56597222222222254</v>
      </c>
      <c r="I61" s="23">
        <f t="shared" si="66"/>
        <v>-6.9444444444466402E-4</v>
      </c>
      <c r="J61" s="23"/>
      <c r="K61" s="23">
        <f t="shared" si="69"/>
        <v>0.5409722222222223</v>
      </c>
      <c r="L61" s="30">
        <f>(TrCeib11815[[#This Row],[HORA_FIN]]-TrCeib11815[[#This Row],[HORA_INI]])+TrCeib11815[[#This Row],[Tt_tex]]</f>
        <v>2.430555555555558E-2</v>
      </c>
      <c r="M61"/>
      <c r="O61" t="s">
        <v>109</v>
      </c>
      <c r="P61" s="28">
        <v>6</v>
      </c>
      <c r="Q61" s="23">
        <v>0.56597222222222254</v>
      </c>
      <c r="R61" s="23">
        <f t="shared" si="27"/>
        <v>7.6388888888890838E-3</v>
      </c>
      <c r="S61" s="23">
        <f>VLOOKUP(VeredaTr12916[[#This Row],[HORA_INI]],Ruta2[[HORA]:[iD]],5,TRUE)</f>
        <v>6.9444444444444441E-3</v>
      </c>
      <c r="T61" s="23">
        <f t="shared" si="3"/>
        <v>2.4305555555555556E-2</v>
      </c>
      <c r="U61" s="23">
        <f t="shared" si="53"/>
        <v>0.59027777777777812</v>
      </c>
      <c r="V61" s="23">
        <f t="shared" si="54"/>
        <v>-6.9444444444466402E-4</v>
      </c>
      <c r="W61" s="23"/>
      <c r="X61" s="23">
        <f t="shared" ref="X61:X69" si="70">+Q61+V61</f>
        <v>0.56527777777777788</v>
      </c>
      <c r="Y61" s="30">
        <f>(U61-Q61+VeredaTr12916[[#This Row],[Tt_tex]])</f>
        <v>2.430555555555558E-2</v>
      </c>
    </row>
    <row r="62" spans="2:25" x14ac:dyDescent="0.35">
      <c r="B62" t="s">
        <v>108</v>
      </c>
      <c r="C62" s="28">
        <v>7</v>
      </c>
      <c r="D62" s="23">
        <v>0.54861111111111116</v>
      </c>
      <c r="E62" s="23">
        <f t="shared" si="64"/>
        <v>6.9444444444441977E-3</v>
      </c>
      <c r="F62" s="23">
        <f>VLOOKUP(TrCeib11815[[#This Row],[HORA_INI]],Ruta1[[HORA]:[iD]],5,TRUE)</f>
        <v>6.9444444444444441E-3</v>
      </c>
      <c r="G62" s="23">
        <f t="shared" si="0"/>
        <v>2.4305555555555556E-2</v>
      </c>
      <c r="H62" s="23">
        <f t="shared" si="65"/>
        <v>0.57291666666666674</v>
      </c>
      <c r="I62" s="23">
        <f t="shared" si="66"/>
        <v>0</v>
      </c>
      <c r="J62" s="23"/>
      <c r="K62" s="23">
        <f t="shared" si="69"/>
        <v>0.54861111111111116</v>
      </c>
      <c r="L62" s="30">
        <f>(TrCeib11815[[#This Row],[HORA_FIN]]-TrCeib11815[[#This Row],[HORA_INI]])+TrCeib11815[[#This Row],[Tt_tex]]</f>
        <v>2.430555555555558E-2</v>
      </c>
      <c r="M62"/>
      <c r="O62" t="s">
        <v>109</v>
      </c>
      <c r="P62" s="28">
        <v>7</v>
      </c>
      <c r="Q62" s="23">
        <v>0.57291666666666674</v>
      </c>
      <c r="R62" s="23">
        <f t="shared" si="27"/>
        <v>6.9444444444441977E-3</v>
      </c>
      <c r="S62" s="23">
        <f>VLOOKUP(VeredaTr12916[[#This Row],[HORA_INI]],Ruta2[[HORA]:[iD]],5,TRUE)</f>
        <v>6.9444444444444441E-3</v>
      </c>
      <c r="T62" s="23">
        <f t="shared" si="3"/>
        <v>2.4305555555555556E-2</v>
      </c>
      <c r="U62" s="23">
        <f t="shared" si="53"/>
        <v>0.59722222222222232</v>
      </c>
      <c r="V62" s="23">
        <f t="shared" si="54"/>
        <v>0</v>
      </c>
      <c r="W62" s="23"/>
      <c r="X62" s="23">
        <f t="shared" si="70"/>
        <v>0.57291666666666674</v>
      </c>
      <c r="Y62" s="30">
        <f>(U62-Q62+VeredaTr12916[[#This Row],[Tt_tex]])</f>
        <v>2.430555555555558E-2</v>
      </c>
    </row>
    <row r="63" spans="2:25" x14ac:dyDescent="0.35">
      <c r="B63" t="s">
        <v>108</v>
      </c>
      <c r="C63" s="28">
        <v>1</v>
      </c>
      <c r="D63" s="23">
        <v>0.55486111111111125</v>
      </c>
      <c r="E63" s="23">
        <f t="shared" si="64"/>
        <v>6.2500000000000888E-3</v>
      </c>
      <c r="F63" s="23">
        <f>VLOOKUP(TrCeib11815[[#This Row],[HORA_INI]],Ruta1[[HORA]:[iD]],5,TRUE)</f>
        <v>6.9444444444444441E-3</v>
      </c>
      <c r="G63" s="23">
        <f t="shared" si="0"/>
        <v>2.4305555555555556E-2</v>
      </c>
      <c r="H63" s="23">
        <f t="shared" si="65"/>
        <v>0.57916666666666683</v>
      </c>
      <c r="I63" s="23">
        <f t="shared" si="66"/>
        <v>6.9444444444433095E-4</v>
      </c>
      <c r="J63" s="23"/>
      <c r="K63" s="23">
        <f t="shared" si="69"/>
        <v>0.55555555555555558</v>
      </c>
      <c r="L63" s="30">
        <f>(TrCeib11815[[#This Row],[HORA_FIN]]-TrCeib11815[[#This Row],[HORA_INI]])+TrCeib11815[[#This Row],[Tt_tex]]</f>
        <v>2.430555555555558E-2</v>
      </c>
      <c r="M63"/>
      <c r="O63" t="s">
        <v>109</v>
      </c>
      <c r="P63" s="28">
        <v>1</v>
      </c>
      <c r="Q63" s="23">
        <v>0.57916666666666683</v>
      </c>
      <c r="R63" s="23">
        <f t="shared" ref="R63:R64" si="71">Q63-Q62</f>
        <v>6.2500000000000888E-3</v>
      </c>
      <c r="S63" s="23">
        <f>VLOOKUP(VeredaTr12916[[#This Row],[HORA_INI]],Ruta2[[HORA]:[iD]],5,TRUE)</f>
        <v>6.9444444444444441E-3</v>
      </c>
      <c r="T63" s="23">
        <f t="shared" si="3"/>
        <v>2.4305555555555556E-2</v>
      </c>
      <c r="U63" s="23">
        <f t="shared" ref="U63:U64" si="72">+Q63+T63</f>
        <v>0.60347222222222241</v>
      </c>
      <c r="V63" s="23">
        <f t="shared" ref="V63:V64" si="73">+(Q62+S63)-Q63</f>
        <v>6.9444444444433095E-4</v>
      </c>
      <c r="W63" s="23"/>
      <c r="X63" s="23">
        <f>+Q63+V63</f>
        <v>0.57986111111111116</v>
      </c>
      <c r="Y63" s="30">
        <f>(U63-Q63+VeredaTr12916[[#This Row],[Tt_tex]])</f>
        <v>2.430555555555558E-2</v>
      </c>
    </row>
    <row r="64" spans="2:25" x14ac:dyDescent="0.35">
      <c r="B64" t="s">
        <v>108</v>
      </c>
      <c r="C64" s="28">
        <v>2</v>
      </c>
      <c r="D64" s="23">
        <v>0.56180555555555567</v>
      </c>
      <c r="E64" s="23">
        <f t="shared" si="64"/>
        <v>6.9444444444444198E-3</v>
      </c>
      <c r="F64" s="23">
        <f>VLOOKUP(TrCeib11815[[#This Row],[HORA_INI]],Ruta1[[HORA]:[iD]],5,TRUE)</f>
        <v>6.9444444444444441E-3</v>
      </c>
      <c r="G64" s="23">
        <f t="shared" si="0"/>
        <v>2.4305555555555556E-2</v>
      </c>
      <c r="H64" s="23">
        <f t="shared" si="65"/>
        <v>0.58611111111111125</v>
      </c>
      <c r="I64" s="23">
        <f t="shared" si="66"/>
        <v>0</v>
      </c>
      <c r="J64" s="23"/>
      <c r="K64" s="23">
        <f t="shared" si="69"/>
        <v>0.56180555555555567</v>
      </c>
      <c r="L64" s="30">
        <f>(TrCeib11815[[#This Row],[HORA_FIN]]-TrCeib11815[[#This Row],[HORA_INI]])+TrCeib11815[[#This Row],[Tt_tex]]</f>
        <v>2.430555555555558E-2</v>
      </c>
      <c r="M64"/>
      <c r="O64" t="s">
        <v>109</v>
      </c>
      <c r="P64" s="28">
        <v>2</v>
      </c>
      <c r="Q64" s="23">
        <v>0.58611111111111125</v>
      </c>
      <c r="R64" s="23">
        <f t="shared" si="71"/>
        <v>6.9444444444444198E-3</v>
      </c>
      <c r="S64" s="23">
        <f>VLOOKUP(VeredaTr12916[[#This Row],[HORA_INI]],Ruta2[[HORA]:[iD]],5,TRUE)</f>
        <v>6.9444444444444441E-3</v>
      </c>
      <c r="T64" s="23">
        <f t="shared" si="3"/>
        <v>2.4305555555555556E-2</v>
      </c>
      <c r="U64" s="23">
        <f t="shared" si="72"/>
        <v>0.61041666666666683</v>
      </c>
      <c r="V64" s="23">
        <f t="shared" si="73"/>
        <v>0</v>
      </c>
      <c r="W64" s="23"/>
      <c r="X64" s="23">
        <f t="shared" si="70"/>
        <v>0.58611111111111125</v>
      </c>
      <c r="Y64" s="30">
        <f>(U64-Q64+VeredaTr12916[[#This Row],[Tt_tex]])</f>
        <v>2.430555555555558E-2</v>
      </c>
    </row>
    <row r="65" spans="2:25" x14ac:dyDescent="0.35">
      <c r="B65" t="s">
        <v>108</v>
      </c>
      <c r="C65" s="28">
        <v>3</v>
      </c>
      <c r="D65" s="23">
        <v>0.56875000000000009</v>
      </c>
      <c r="E65" s="23">
        <f t="shared" si="64"/>
        <v>6.9444444444444198E-3</v>
      </c>
      <c r="F65" s="23">
        <f>VLOOKUP(TrCeib11815[[#This Row],[HORA_INI]],Ruta1[[HORA]:[iD]],5,TRUE)</f>
        <v>6.9444444444444441E-3</v>
      </c>
      <c r="G65" s="23">
        <f t="shared" si="0"/>
        <v>2.4305555555555556E-2</v>
      </c>
      <c r="H65" s="23">
        <f t="shared" si="65"/>
        <v>0.59305555555555567</v>
      </c>
      <c r="I65" s="23">
        <f t="shared" si="66"/>
        <v>0</v>
      </c>
      <c r="J65" s="23"/>
      <c r="K65" s="23">
        <f t="shared" si="69"/>
        <v>0.56875000000000009</v>
      </c>
      <c r="L65" s="30">
        <f>(TrCeib11815[[#This Row],[HORA_FIN]]-TrCeib11815[[#This Row],[HORA_INI]])+TrCeib11815[[#This Row],[Tt_tex]]</f>
        <v>2.430555555555558E-2</v>
      </c>
      <c r="M65" s="40"/>
      <c r="O65" t="s">
        <v>109</v>
      </c>
      <c r="P65" s="28">
        <v>3</v>
      </c>
      <c r="Q65" s="23">
        <v>0.59305555555555567</v>
      </c>
      <c r="R65" s="23">
        <f t="shared" si="27"/>
        <v>6.9444444444444198E-3</v>
      </c>
      <c r="S65" s="23">
        <f>VLOOKUP(VeredaTr12916[[#This Row],[HORA_INI]],Ruta2[[HORA]:[iD]],5,TRUE)</f>
        <v>6.9444444444444441E-3</v>
      </c>
      <c r="T65" s="23">
        <f t="shared" si="3"/>
        <v>2.4305555555555556E-2</v>
      </c>
      <c r="U65" s="23">
        <f t="shared" si="53"/>
        <v>0.61736111111111125</v>
      </c>
      <c r="V65" s="23">
        <f t="shared" si="54"/>
        <v>0</v>
      </c>
      <c r="W65" s="23"/>
      <c r="X65" s="23">
        <f t="shared" si="70"/>
        <v>0.59305555555555567</v>
      </c>
      <c r="Y65" s="30">
        <f>(U65-Q65+VeredaTr12916[[#This Row],[Tt_tex]])</f>
        <v>2.430555555555558E-2</v>
      </c>
    </row>
    <row r="66" spans="2:25" x14ac:dyDescent="0.35">
      <c r="B66" t="s">
        <v>108</v>
      </c>
      <c r="C66" s="28">
        <v>4</v>
      </c>
      <c r="D66" s="23">
        <v>0.57569444444444473</v>
      </c>
      <c r="E66" s="23">
        <f t="shared" si="64"/>
        <v>6.9444444444446418E-3</v>
      </c>
      <c r="F66" s="23">
        <f>VLOOKUP(TrCeib11815[[#This Row],[HORA_INI]],Ruta1[[HORA]:[iD]],5,TRUE)</f>
        <v>6.9444444444444441E-3</v>
      </c>
      <c r="G66" s="23">
        <f t="shared" si="0"/>
        <v>2.4305555555555556E-2</v>
      </c>
      <c r="H66" s="23">
        <f t="shared" si="65"/>
        <v>0.60000000000000031</v>
      </c>
      <c r="I66" s="23">
        <f t="shared" si="66"/>
        <v>0</v>
      </c>
      <c r="J66" s="23"/>
      <c r="K66" s="23">
        <f t="shared" si="69"/>
        <v>0.57569444444444473</v>
      </c>
      <c r="L66" s="30">
        <f>(TrCeib11815[[#This Row],[HORA_FIN]]-TrCeib11815[[#This Row],[HORA_INI]])+TrCeib11815[[#This Row],[Tt_tex]]</f>
        <v>2.430555555555558E-2</v>
      </c>
      <c r="M66" s="40"/>
      <c r="O66" t="s">
        <v>109</v>
      </c>
      <c r="P66" s="28">
        <v>4</v>
      </c>
      <c r="Q66" s="23">
        <v>0.60000000000000031</v>
      </c>
      <c r="R66" s="23">
        <f t="shared" si="27"/>
        <v>6.9444444444446418E-3</v>
      </c>
      <c r="S66" s="23">
        <f>VLOOKUP(VeredaTr12916[[#This Row],[HORA_INI]],Ruta2[[HORA]:[iD]],5,TRUE)</f>
        <v>6.9444444444444441E-3</v>
      </c>
      <c r="T66" s="23">
        <f t="shared" si="3"/>
        <v>2.4305555555555556E-2</v>
      </c>
      <c r="U66" s="23">
        <f t="shared" si="53"/>
        <v>0.62430555555555589</v>
      </c>
      <c r="V66" s="23">
        <f t="shared" si="54"/>
        <v>0</v>
      </c>
      <c r="W66" s="23"/>
      <c r="X66" s="23">
        <f t="shared" si="70"/>
        <v>0.60000000000000031</v>
      </c>
      <c r="Y66" s="30">
        <f>(U66-Q66+VeredaTr12916[[#This Row],[Tt_tex]])</f>
        <v>2.430555555555558E-2</v>
      </c>
    </row>
    <row r="67" spans="2:25" x14ac:dyDescent="0.35">
      <c r="B67" t="s">
        <v>108</v>
      </c>
      <c r="C67" s="28">
        <v>10</v>
      </c>
      <c r="D67" s="23">
        <v>0.58263888888888904</v>
      </c>
      <c r="E67" s="23">
        <f t="shared" si="64"/>
        <v>6.9444444444443088E-3</v>
      </c>
      <c r="F67" s="23">
        <f>VLOOKUP(TrCeib11815[[#This Row],[HORA_INI]],Ruta1[[HORA]:[iD]],5,TRUE)</f>
        <v>6.9444444444444441E-3</v>
      </c>
      <c r="G67" s="23">
        <f t="shared" si="0"/>
        <v>2.4305555555555556E-2</v>
      </c>
      <c r="H67" s="23">
        <f t="shared" si="65"/>
        <v>0.60694444444444462</v>
      </c>
      <c r="I67" s="23">
        <f t="shared" si="66"/>
        <v>0</v>
      </c>
      <c r="J67" s="23"/>
      <c r="K67" s="23">
        <f t="shared" si="69"/>
        <v>0.58263888888888904</v>
      </c>
      <c r="L67" s="30">
        <f>(TrCeib11815[[#This Row],[HORA_FIN]]-TrCeib11815[[#This Row],[HORA_INI]])+TrCeib11815[[#This Row],[Tt_tex]]</f>
        <v>2.430555555555558E-2</v>
      </c>
      <c r="M67" s="40"/>
      <c r="O67" t="s">
        <v>109</v>
      </c>
      <c r="P67" s="28">
        <v>10</v>
      </c>
      <c r="Q67" s="23">
        <v>0.60694444444444462</v>
      </c>
      <c r="R67" s="23">
        <f t="shared" si="27"/>
        <v>6.9444444444443088E-3</v>
      </c>
      <c r="S67" s="23">
        <f>VLOOKUP(VeredaTr12916[[#This Row],[HORA_INI]],Ruta2[[HORA]:[iD]],5,TRUE)</f>
        <v>6.9444444444444441E-3</v>
      </c>
      <c r="T67" s="23">
        <f t="shared" si="3"/>
        <v>2.4305555555555556E-2</v>
      </c>
      <c r="U67" s="23">
        <f t="shared" si="53"/>
        <v>0.6312500000000002</v>
      </c>
      <c r="V67" s="23">
        <f t="shared" si="54"/>
        <v>0</v>
      </c>
      <c r="W67" s="23"/>
      <c r="X67" s="23">
        <f t="shared" si="70"/>
        <v>0.60694444444444462</v>
      </c>
      <c r="Y67" s="30">
        <f>(U67-Q67+VeredaTr12916[[#This Row],[Tt_tex]])</f>
        <v>2.430555555555558E-2</v>
      </c>
    </row>
    <row r="68" spans="2:25" x14ac:dyDescent="0.35">
      <c r="B68" t="s">
        <v>108</v>
      </c>
      <c r="C68" s="28">
        <v>6</v>
      </c>
      <c r="D68" s="23">
        <v>0.59027777777777812</v>
      </c>
      <c r="E68" s="23">
        <f t="shared" si="64"/>
        <v>7.6388888888890838E-3</v>
      </c>
      <c r="F68" s="23">
        <f>VLOOKUP(TrCeib11815[[#This Row],[HORA_INI]],Ruta1[[HORA]:[iD]],5,TRUE)</f>
        <v>6.9444444444444441E-3</v>
      </c>
      <c r="G68" s="23">
        <f t="shared" si="0"/>
        <v>2.4305555555555556E-2</v>
      </c>
      <c r="H68" s="23">
        <f t="shared" si="65"/>
        <v>0.6145833333333337</v>
      </c>
      <c r="I68" s="23">
        <f t="shared" si="66"/>
        <v>-6.9444444444466402E-4</v>
      </c>
      <c r="J68" s="23"/>
      <c r="K68" s="23">
        <f t="shared" ref="K68:K76" si="74">+D68+I68</f>
        <v>0.58958333333333346</v>
      </c>
      <c r="L68" s="30">
        <f>(TrCeib11815[[#This Row],[HORA_FIN]]-TrCeib11815[[#This Row],[HORA_INI]])+TrCeib11815[[#This Row],[Tt_tex]]</f>
        <v>2.430555555555558E-2</v>
      </c>
      <c r="M68" s="40"/>
      <c r="O68" t="s">
        <v>109</v>
      </c>
      <c r="P68" s="28">
        <v>6</v>
      </c>
      <c r="Q68" s="23">
        <v>0.6145833333333337</v>
      </c>
      <c r="R68" s="23">
        <f t="shared" si="27"/>
        <v>7.6388888888890838E-3</v>
      </c>
      <c r="S68" s="23">
        <f>VLOOKUP(VeredaTr12916[[#This Row],[HORA_INI]],Ruta2[[HORA]:[iD]],5,TRUE)</f>
        <v>6.9444444444444441E-3</v>
      </c>
      <c r="T68" s="23">
        <f t="shared" ref="T68:T108" si="75">+$Q$2</f>
        <v>2.4305555555555556E-2</v>
      </c>
      <c r="U68" s="23">
        <f t="shared" si="53"/>
        <v>0.63888888888888928</v>
      </c>
      <c r="V68" s="23">
        <f t="shared" si="54"/>
        <v>-6.9444444444466402E-4</v>
      </c>
      <c r="W68" s="23"/>
      <c r="X68" s="23">
        <f t="shared" si="70"/>
        <v>0.61388888888888904</v>
      </c>
      <c r="Y68" s="30">
        <f>(U68-Q68+VeredaTr12916[[#This Row],[Tt_tex]])</f>
        <v>2.430555555555558E-2</v>
      </c>
    </row>
    <row r="69" spans="2:25" x14ac:dyDescent="0.35">
      <c r="B69" t="s">
        <v>108</v>
      </c>
      <c r="C69" s="28">
        <v>7</v>
      </c>
      <c r="D69" s="23">
        <v>0.59722222222222232</v>
      </c>
      <c r="E69" s="23">
        <f t="shared" si="64"/>
        <v>6.9444444444441977E-3</v>
      </c>
      <c r="F69" s="23">
        <f>VLOOKUP(TrCeib11815[[#This Row],[HORA_INI]],Ruta1[[HORA]:[iD]],5,TRUE)</f>
        <v>6.9444444444444441E-3</v>
      </c>
      <c r="G69" s="23">
        <f t="shared" si="0"/>
        <v>2.4305555555555556E-2</v>
      </c>
      <c r="H69" s="23">
        <f t="shared" si="65"/>
        <v>0.6215277777777779</v>
      </c>
      <c r="I69" s="23">
        <f t="shared" si="66"/>
        <v>0</v>
      </c>
      <c r="J69" s="23"/>
      <c r="K69" s="23">
        <f t="shared" si="74"/>
        <v>0.59722222222222232</v>
      </c>
      <c r="L69" s="30">
        <f>(TrCeib11815[[#This Row],[HORA_FIN]]-TrCeib11815[[#This Row],[HORA_INI]])+TrCeib11815[[#This Row],[Tt_tex]]</f>
        <v>2.430555555555558E-2</v>
      </c>
      <c r="M69"/>
      <c r="O69" t="s">
        <v>109</v>
      </c>
      <c r="P69" s="28">
        <v>7</v>
      </c>
      <c r="Q69" s="23">
        <v>0.6215277777777779</v>
      </c>
      <c r="R69" s="23">
        <f t="shared" si="27"/>
        <v>6.9444444444441977E-3</v>
      </c>
      <c r="S69" s="23">
        <f>VLOOKUP(VeredaTr12916[[#This Row],[HORA_INI]],Ruta2[[HORA]:[iD]],5,TRUE)</f>
        <v>6.9444444444444441E-3</v>
      </c>
      <c r="T69" s="23">
        <f t="shared" si="75"/>
        <v>2.4305555555555556E-2</v>
      </c>
      <c r="U69" s="23">
        <f t="shared" si="53"/>
        <v>0.64583333333333348</v>
      </c>
      <c r="V69" s="23">
        <f t="shared" si="54"/>
        <v>0</v>
      </c>
      <c r="W69" s="23"/>
      <c r="X69" s="23">
        <f t="shared" si="70"/>
        <v>0.6215277777777779</v>
      </c>
      <c r="Y69" s="30">
        <f>(U69-Q69+VeredaTr12916[[#This Row],[Tt_tex]])</f>
        <v>2.430555555555558E-2</v>
      </c>
    </row>
    <row r="70" spans="2:25" x14ac:dyDescent="0.35">
      <c r="B70" t="s">
        <v>108</v>
      </c>
      <c r="C70" s="28">
        <v>1</v>
      </c>
      <c r="D70" s="23">
        <v>0.60347222222222241</v>
      </c>
      <c r="E70" s="23">
        <f t="shared" si="64"/>
        <v>6.2500000000000888E-3</v>
      </c>
      <c r="F70" s="23">
        <f>VLOOKUP(TrCeib11815[[#This Row],[HORA_INI]],Ruta1[[HORA]:[iD]],5,TRUE)</f>
        <v>6.9444444444444441E-3</v>
      </c>
      <c r="G70" s="23">
        <f t="shared" si="0"/>
        <v>2.4305555555555556E-2</v>
      </c>
      <c r="H70" s="23">
        <f t="shared" si="65"/>
        <v>0.62777777777777799</v>
      </c>
      <c r="I70" s="23">
        <f t="shared" si="66"/>
        <v>6.9444444444433095E-4</v>
      </c>
      <c r="J70" s="23"/>
      <c r="K70" s="23">
        <f t="shared" si="74"/>
        <v>0.60416666666666674</v>
      </c>
      <c r="L70" s="30">
        <f>(TrCeib11815[[#This Row],[HORA_FIN]]-TrCeib11815[[#This Row],[HORA_INI]])+TrCeib11815[[#This Row],[Tt_tex]]</f>
        <v>2.430555555555558E-2</v>
      </c>
      <c r="M70"/>
      <c r="O70" t="s">
        <v>109</v>
      </c>
      <c r="P70" s="28">
        <v>1</v>
      </c>
      <c r="Q70" s="23">
        <v>0.62777777777777799</v>
      </c>
      <c r="R70" s="23">
        <f>Q70-Q69</f>
        <v>6.2500000000000888E-3</v>
      </c>
      <c r="S70" s="23">
        <f>VLOOKUP(VeredaTr12916[[#This Row],[HORA_INI]],Ruta2[[HORA]:[iD]],5,TRUE)</f>
        <v>4.8611111111111112E-3</v>
      </c>
      <c r="T70" s="23">
        <f t="shared" si="75"/>
        <v>2.4305555555555556E-2</v>
      </c>
      <c r="U70" s="23">
        <f t="shared" si="53"/>
        <v>0.65208333333333357</v>
      </c>
      <c r="V70" s="23">
        <f>+(Q69+S70)-Q70</f>
        <v>-1.388888888888995E-3</v>
      </c>
      <c r="W70" s="23"/>
      <c r="X70" s="23">
        <f t="shared" ref="X70:X79" si="76">+Q70+V70</f>
        <v>0.62638888888888899</v>
      </c>
      <c r="Y70" s="30">
        <f>(U70-Q70+VeredaTr12916[[#This Row],[Tt_tex]])</f>
        <v>2.430555555555558E-2</v>
      </c>
    </row>
    <row r="71" spans="2:25" x14ac:dyDescent="0.35">
      <c r="B71" t="s">
        <v>108</v>
      </c>
      <c r="C71" s="28">
        <v>2</v>
      </c>
      <c r="D71" s="23">
        <v>0.61041666666666683</v>
      </c>
      <c r="E71" s="23">
        <f t="shared" ref="E71:E75" si="77">D71-D70</f>
        <v>6.9444444444444198E-3</v>
      </c>
      <c r="F71" s="23">
        <f>VLOOKUP(TrCeib11815[[#This Row],[HORA_INI]],Ruta1[[HORA]:[iD]],5,TRUE)</f>
        <v>6.9444444444444441E-3</v>
      </c>
      <c r="G71" s="23">
        <f t="shared" si="0"/>
        <v>2.4305555555555556E-2</v>
      </c>
      <c r="H71" s="23">
        <f t="shared" ref="H71:H75" si="78">D71+G71</f>
        <v>0.63472222222222241</v>
      </c>
      <c r="I71" s="23">
        <f t="shared" ref="I71:I75" si="79">+(D70+F71)-D71</f>
        <v>0</v>
      </c>
      <c r="J71" s="23"/>
      <c r="K71" s="23">
        <f>+D71+I71</f>
        <v>0.61041666666666683</v>
      </c>
      <c r="L71" s="30">
        <f>(TrCeib11815[[#This Row],[HORA_FIN]]-TrCeib11815[[#This Row],[HORA_INI]])+TrCeib11815[[#This Row],[Tt_tex]]</f>
        <v>2.430555555555558E-2</v>
      </c>
      <c r="M71"/>
      <c r="N71" t="s">
        <v>63</v>
      </c>
      <c r="O71" t="s">
        <v>109</v>
      </c>
      <c r="P71" s="28">
        <v>9</v>
      </c>
      <c r="Q71" s="73">
        <v>0.63263888888888886</v>
      </c>
      <c r="R71" s="23">
        <f t="shared" ref="R71:R79" si="80">Q71-Q70</f>
        <v>4.8611111111108718E-3</v>
      </c>
      <c r="S71" s="23">
        <f>VLOOKUP(VeredaTr12916[[#This Row],[HORA_INI]],Ruta2[[HORA]:[iD]],5,TRUE)</f>
        <v>4.8611111111111112E-3</v>
      </c>
      <c r="T71" s="23">
        <f t="shared" si="75"/>
        <v>2.4305555555555556E-2</v>
      </c>
      <c r="U71" s="23">
        <f t="shared" ref="U71:U73" si="81">+Q71+T71</f>
        <v>0.65694444444444444</v>
      </c>
      <c r="V71" s="23">
        <f t="shared" ref="V71:V73" si="82">+(Q70+S71)-Q71</f>
        <v>0</v>
      </c>
      <c r="W71" s="73"/>
      <c r="X71" s="73">
        <f>+Q71+V71</f>
        <v>0.63263888888888886</v>
      </c>
      <c r="Y71" s="30">
        <f>(U71-Q71+VeredaTr12916[[#This Row],[Tt_tex]])</f>
        <v>2.430555555555558E-2</v>
      </c>
    </row>
    <row r="72" spans="2:25" x14ac:dyDescent="0.35">
      <c r="B72" t="s">
        <v>108</v>
      </c>
      <c r="C72" s="28">
        <v>3</v>
      </c>
      <c r="D72" s="23">
        <v>0.61736111111111125</v>
      </c>
      <c r="E72" s="23">
        <f t="shared" si="77"/>
        <v>6.9444444444444198E-3</v>
      </c>
      <c r="F72" s="23">
        <f>VLOOKUP(TrCeib11815[[#This Row],[HORA_INI]],Ruta1[[HORA]:[iD]],5,TRUE)</f>
        <v>6.9444444444444441E-3</v>
      </c>
      <c r="G72" s="23">
        <f t="shared" si="0"/>
        <v>2.4305555555555556E-2</v>
      </c>
      <c r="H72" s="23">
        <f t="shared" si="78"/>
        <v>0.64166666666666683</v>
      </c>
      <c r="I72" s="23">
        <f t="shared" si="79"/>
        <v>0</v>
      </c>
      <c r="J72" s="23"/>
      <c r="K72" s="23">
        <f t="shared" si="74"/>
        <v>0.61736111111111125</v>
      </c>
      <c r="L72" s="30">
        <f>(TrCeib11815[[#This Row],[HORA_FIN]]-TrCeib11815[[#This Row],[HORA_INI]])+TrCeib11815[[#This Row],[Tt_tex]]</f>
        <v>2.430555555555558E-2</v>
      </c>
      <c r="M72"/>
      <c r="O72" t="s">
        <v>109</v>
      </c>
      <c r="P72" s="28">
        <v>2</v>
      </c>
      <c r="Q72" s="23">
        <v>0.63749999999999996</v>
      </c>
      <c r="R72" s="23">
        <f t="shared" si="80"/>
        <v>4.8611111111110938E-3</v>
      </c>
      <c r="S72" s="23">
        <f>VLOOKUP(VeredaTr12916[[#This Row],[HORA_INI]],Ruta2[[HORA]:[iD]],5,TRUE)</f>
        <v>4.8611111111111112E-3</v>
      </c>
      <c r="T72" s="23">
        <f t="shared" si="75"/>
        <v>2.4305555555555556E-2</v>
      </c>
      <c r="U72" s="23">
        <f t="shared" si="81"/>
        <v>0.66180555555555554</v>
      </c>
      <c r="V72" s="23">
        <f t="shared" si="82"/>
        <v>0</v>
      </c>
      <c r="W72" s="23">
        <v>2.7777777777777779E-3</v>
      </c>
      <c r="X72" s="23">
        <f t="shared" si="76"/>
        <v>0.63749999999999996</v>
      </c>
      <c r="Y72" s="30">
        <f>(U72-Q72+VeredaTr12916[[#This Row],[Tt_tex]])</f>
        <v>2.7083333333333359E-2</v>
      </c>
    </row>
    <row r="73" spans="2:25" x14ac:dyDescent="0.35">
      <c r="B73" t="s">
        <v>108</v>
      </c>
      <c r="C73" s="28">
        <v>4</v>
      </c>
      <c r="D73" s="23">
        <v>0.62430555555555589</v>
      </c>
      <c r="E73" s="23">
        <f t="shared" si="77"/>
        <v>6.9444444444446418E-3</v>
      </c>
      <c r="F73" s="23">
        <f>VLOOKUP(TrCeib11815[[#This Row],[HORA_INI]],Ruta1[[HORA]:[iD]],5,TRUE)</f>
        <v>6.9444444444444441E-3</v>
      </c>
      <c r="G73" s="23">
        <f t="shared" si="0"/>
        <v>2.4305555555555556E-2</v>
      </c>
      <c r="H73" s="23">
        <f t="shared" si="78"/>
        <v>0.64861111111111147</v>
      </c>
      <c r="I73" s="23">
        <f t="shared" si="79"/>
        <v>0</v>
      </c>
      <c r="J73" s="23"/>
      <c r="K73" s="23">
        <f t="shared" si="74"/>
        <v>0.62430555555555589</v>
      </c>
      <c r="L73" s="30">
        <f>(TrCeib11815[[#This Row],[HORA_FIN]]-TrCeib11815[[#This Row],[HORA_INI]])+TrCeib11815[[#This Row],[Tt_tex]]</f>
        <v>2.430555555555558E-2</v>
      </c>
      <c r="M73" s="40"/>
      <c r="O73" t="s">
        <v>109</v>
      </c>
      <c r="P73" s="28">
        <v>3</v>
      </c>
      <c r="Q73" s="23">
        <v>0.64236111111111116</v>
      </c>
      <c r="R73" s="23">
        <f t="shared" si="80"/>
        <v>4.8611111111112049E-3</v>
      </c>
      <c r="S73" s="23">
        <f>VLOOKUP(VeredaTr12916[[#This Row],[HORA_INI]],Ruta2[[HORA]:[iD]],5,TRUE)</f>
        <v>4.8611111111111112E-3</v>
      </c>
      <c r="T73" s="23">
        <f t="shared" si="75"/>
        <v>2.4305555555555556E-2</v>
      </c>
      <c r="U73" s="23">
        <f t="shared" si="81"/>
        <v>0.66666666666666674</v>
      </c>
      <c r="V73" s="23">
        <f t="shared" si="82"/>
        <v>0</v>
      </c>
      <c r="W73" s="23">
        <v>6.9444444444444447E-4</v>
      </c>
      <c r="X73" s="23">
        <f t="shared" si="76"/>
        <v>0.64236111111111116</v>
      </c>
      <c r="Y73" s="30">
        <f>(U73-Q73+VeredaTr12916[[#This Row],[Tt_tex]])</f>
        <v>2.5000000000000026E-2</v>
      </c>
    </row>
    <row r="74" spans="2:25" x14ac:dyDescent="0.35">
      <c r="B74" t="s">
        <v>108</v>
      </c>
      <c r="C74" s="28">
        <v>10</v>
      </c>
      <c r="D74" s="23">
        <v>0.6312500000000002</v>
      </c>
      <c r="E74" s="23">
        <f t="shared" si="77"/>
        <v>6.9444444444443088E-3</v>
      </c>
      <c r="F74" s="23">
        <f>VLOOKUP(TrCeib11815[[#This Row],[HORA_INI]],Ruta1[[HORA]:[iD]],5,TRUE)</f>
        <v>6.9444444444444397E-3</v>
      </c>
      <c r="G74" s="23">
        <f t="shared" si="0"/>
        <v>2.4305555555555556E-2</v>
      </c>
      <c r="H74" s="23">
        <f t="shared" si="78"/>
        <v>0.65555555555555578</v>
      </c>
      <c r="I74" s="23">
        <f t="shared" si="79"/>
        <v>0</v>
      </c>
      <c r="J74" s="23"/>
      <c r="K74" s="23">
        <f t="shared" si="74"/>
        <v>0.6312500000000002</v>
      </c>
      <c r="L74" s="30">
        <f>(TrCeib11815[[#This Row],[HORA_FIN]]-TrCeib11815[[#This Row],[HORA_INI]])+TrCeib11815[[#This Row],[Tt_tex]]</f>
        <v>2.430555555555558E-2</v>
      </c>
      <c r="M74" s="40"/>
      <c r="N74" t="s">
        <v>63</v>
      </c>
      <c r="O74" t="s">
        <v>109</v>
      </c>
      <c r="P74" s="28">
        <v>5</v>
      </c>
      <c r="Q74" s="73">
        <v>0.64722222222222225</v>
      </c>
      <c r="R74" s="23">
        <f t="shared" si="80"/>
        <v>4.8611111111110938E-3</v>
      </c>
      <c r="S74" s="23">
        <f>VLOOKUP(VeredaTr12916[[#This Row],[HORA_INI]],Ruta2[[HORA]:[iD]],5,TRUE)</f>
        <v>4.8611111111111112E-3</v>
      </c>
      <c r="T74" s="23">
        <f t="shared" si="75"/>
        <v>2.4305555555555556E-2</v>
      </c>
      <c r="U74" s="23">
        <f t="shared" ref="U74:U76" si="83">+Q74+T74</f>
        <v>0.67152777777777783</v>
      </c>
      <c r="V74" s="23">
        <f t="shared" ref="V74:V76" si="84">+(Q73+S74)-Q74</f>
        <v>0</v>
      </c>
      <c r="W74" s="73"/>
      <c r="X74" s="73">
        <f>+Q74+V74</f>
        <v>0.64722222222222225</v>
      </c>
      <c r="Y74" s="30">
        <f>(U74-Q74+VeredaTr12916[[#This Row],[Tt_tex]])</f>
        <v>2.430555555555558E-2</v>
      </c>
    </row>
    <row r="75" spans="2:25" x14ac:dyDescent="0.35">
      <c r="B75" t="s">
        <v>108</v>
      </c>
      <c r="C75" s="28">
        <v>6</v>
      </c>
      <c r="D75" s="23">
        <v>0.63888888888888928</v>
      </c>
      <c r="E75" s="23">
        <f t="shared" si="77"/>
        <v>7.6388888888890838E-3</v>
      </c>
      <c r="F75" s="23">
        <f>VLOOKUP(TrCeib11815[[#This Row],[HORA_INI]],Ruta1[[HORA]:[iD]],5,TRUE)</f>
        <v>6.9444444444444397E-3</v>
      </c>
      <c r="G75" s="23">
        <f t="shared" si="0"/>
        <v>2.4305555555555556E-2</v>
      </c>
      <c r="H75" s="23">
        <f t="shared" si="78"/>
        <v>0.66319444444444486</v>
      </c>
      <c r="I75" s="23">
        <f t="shared" si="79"/>
        <v>-6.9444444444466402E-4</v>
      </c>
      <c r="J75" s="23"/>
      <c r="K75" s="23">
        <f t="shared" si="74"/>
        <v>0.63819444444444462</v>
      </c>
      <c r="L75" s="30">
        <f>(TrCeib11815[[#This Row],[HORA_FIN]]-TrCeib11815[[#This Row],[HORA_INI]])+TrCeib11815[[#This Row],[Tt_tex]]</f>
        <v>2.430555555555558E-2</v>
      </c>
      <c r="M75" s="40"/>
      <c r="O75" t="s">
        <v>109</v>
      </c>
      <c r="P75" s="28">
        <v>4</v>
      </c>
      <c r="Q75" s="23">
        <v>0.65208333333333335</v>
      </c>
      <c r="R75" s="23">
        <f t="shared" si="80"/>
        <v>4.8611111111110938E-3</v>
      </c>
      <c r="S75" s="23">
        <f>VLOOKUP(VeredaTr12916[[#This Row],[HORA_INI]],Ruta2[[HORA]:[iD]],5,TRUE)</f>
        <v>4.8611111111111112E-3</v>
      </c>
      <c r="T75" s="23">
        <f t="shared" si="75"/>
        <v>2.4305555555555556E-2</v>
      </c>
      <c r="U75" s="23">
        <f t="shared" si="83"/>
        <v>0.67638888888888893</v>
      </c>
      <c r="V75" s="23">
        <f t="shared" si="84"/>
        <v>0</v>
      </c>
      <c r="W75" s="23">
        <v>3.472222222222222E-3</v>
      </c>
      <c r="X75" s="23">
        <f t="shared" si="76"/>
        <v>0.65208333333333335</v>
      </c>
      <c r="Y75" s="30">
        <f>(U75-Q75+VeredaTr12916[[#This Row],[Tt_tex]])</f>
        <v>2.7777777777777804E-2</v>
      </c>
    </row>
    <row r="76" spans="2:25" x14ac:dyDescent="0.35">
      <c r="B76" t="s">
        <v>108</v>
      </c>
      <c r="C76" s="28">
        <v>7</v>
      </c>
      <c r="D76" s="23">
        <v>0.64583333333333348</v>
      </c>
      <c r="E76" s="23">
        <f t="shared" ref="E76:E100" si="85">D76-D75</f>
        <v>6.9444444444441977E-3</v>
      </c>
      <c r="F76" s="23">
        <f>VLOOKUP(TrCeib11815[[#This Row],[HORA_INI]],Ruta1[[HORA]:[iD]],5,TRUE)</f>
        <v>6.9444444444444397E-3</v>
      </c>
      <c r="G76" s="23">
        <f t="shared" ref="G76:G111" si="86">+$D$2</f>
        <v>2.4305555555555556E-2</v>
      </c>
      <c r="H76" s="23">
        <f t="shared" ref="H76:H100" si="87">D76+G76</f>
        <v>0.67013888888888906</v>
      </c>
      <c r="I76" s="23">
        <f t="shared" ref="I76:I100" si="88">+(D75+F76)-D76</f>
        <v>0</v>
      </c>
      <c r="J76" s="23"/>
      <c r="K76" s="23">
        <f t="shared" si="74"/>
        <v>0.64583333333333348</v>
      </c>
      <c r="L76" s="30">
        <f>(TrCeib11815[[#This Row],[HORA_FIN]]-TrCeib11815[[#This Row],[HORA_INI]])+TrCeib11815[[#This Row],[Tt_tex]]</f>
        <v>2.430555555555558E-2</v>
      </c>
      <c r="M76" s="40"/>
      <c r="O76" t="s">
        <v>109</v>
      </c>
      <c r="P76" s="28">
        <v>10</v>
      </c>
      <c r="Q76" s="23">
        <v>0.65694444444444444</v>
      </c>
      <c r="R76" s="23">
        <f t="shared" si="80"/>
        <v>4.8611111111110938E-3</v>
      </c>
      <c r="S76" s="23">
        <f>VLOOKUP(VeredaTr12916[[#This Row],[HORA_INI]],Ruta2[[HORA]:[iD]],5,TRUE)</f>
        <v>4.8611111111111112E-3</v>
      </c>
      <c r="T76" s="23">
        <f t="shared" si="75"/>
        <v>2.4305555555555556E-2</v>
      </c>
      <c r="U76" s="23">
        <f t="shared" si="83"/>
        <v>0.68125000000000002</v>
      </c>
      <c r="V76" s="23">
        <f t="shared" si="84"/>
        <v>0</v>
      </c>
      <c r="W76" s="23">
        <v>1.3888888888888889E-3</v>
      </c>
      <c r="X76" s="23">
        <f t="shared" si="76"/>
        <v>0.65694444444444444</v>
      </c>
      <c r="Y76" s="30">
        <f>(U76-Q76+VeredaTr12916[[#This Row],[Tt_tex]])</f>
        <v>2.5694444444444468E-2</v>
      </c>
    </row>
    <row r="77" spans="2:25" x14ac:dyDescent="0.35">
      <c r="B77" t="s">
        <v>108</v>
      </c>
      <c r="C77" s="28">
        <v>1</v>
      </c>
      <c r="D77" s="23">
        <v>0.65208333333333357</v>
      </c>
      <c r="E77" s="23">
        <f t="shared" si="85"/>
        <v>6.2500000000000888E-3</v>
      </c>
      <c r="F77" s="23">
        <f>VLOOKUP(TrCeib11815[[#This Row],[HORA_INI]],Ruta1[[HORA]:[iD]],5,TRUE)</f>
        <v>6.9444444444444397E-3</v>
      </c>
      <c r="G77" s="23">
        <f t="shared" si="86"/>
        <v>2.4305555555555556E-2</v>
      </c>
      <c r="H77" s="23">
        <f t="shared" si="87"/>
        <v>0.67638888888888915</v>
      </c>
      <c r="I77" s="23">
        <f t="shared" si="88"/>
        <v>6.9444444444433095E-4</v>
      </c>
      <c r="J77" s="23"/>
      <c r="K77" s="23">
        <f>+D77+I77</f>
        <v>0.6527777777777779</v>
      </c>
      <c r="L77" s="30">
        <f>(TrCeib11815[[#This Row],[HORA_FIN]]-TrCeib11815[[#This Row],[HORA_INI]])+TrCeib11815[[#This Row],[Tt_tex]]</f>
        <v>2.430555555555558E-2</v>
      </c>
      <c r="M77" s="40"/>
      <c r="N77" t="s">
        <v>63</v>
      </c>
      <c r="O77" t="s">
        <v>109</v>
      </c>
      <c r="P77" s="28">
        <v>8</v>
      </c>
      <c r="Q77" s="73">
        <v>0.66180555555555554</v>
      </c>
      <c r="R77" s="23">
        <f t="shared" si="80"/>
        <v>4.8611111111110938E-3</v>
      </c>
      <c r="S77" s="23">
        <f>VLOOKUP(VeredaTr12916[[#This Row],[HORA_INI]],Ruta2[[HORA]:[iD]],5,TRUE)</f>
        <v>4.8611111111111112E-3</v>
      </c>
      <c r="T77" s="23">
        <f t="shared" si="75"/>
        <v>2.4305555555555556E-2</v>
      </c>
      <c r="U77" s="23">
        <f t="shared" ref="U77:U79" si="89">+Q77+T77</f>
        <v>0.68611111111111112</v>
      </c>
      <c r="V77" s="23">
        <f t="shared" ref="V77:V79" si="90">+(Q76+S77)-Q77</f>
        <v>0</v>
      </c>
      <c r="W77" s="73"/>
      <c r="X77" s="73">
        <f>+Q77+V77</f>
        <v>0.66180555555555554</v>
      </c>
      <c r="Y77" s="30">
        <f>(U77-Q77+VeredaTr12916[[#This Row],[Tt_tex]])</f>
        <v>2.430555555555558E-2</v>
      </c>
    </row>
    <row r="78" spans="2:25" x14ac:dyDescent="0.35">
      <c r="B78" t="s">
        <v>108</v>
      </c>
      <c r="C78" s="28">
        <v>9</v>
      </c>
      <c r="D78" s="23">
        <v>0.65694444444444444</v>
      </c>
      <c r="E78" s="23">
        <f t="shared" si="85"/>
        <v>4.8611111111108718E-3</v>
      </c>
      <c r="F78" s="23">
        <f>VLOOKUP(TrCeib11815[[#This Row],[HORA_INI]],Ruta1[[HORA]:[iD]],5,TRUE)</f>
        <v>4.8611111111111112E-3</v>
      </c>
      <c r="G78" s="23">
        <f t="shared" si="86"/>
        <v>2.4305555555555556E-2</v>
      </c>
      <c r="H78" s="23">
        <f t="shared" si="87"/>
        <v>0.68125000000000002</v>
      </c>
      <c r="I78" s="23">
        <f t="shared" si="88"/>
        <v>0</v>
      </c>
      <c r="J78" s="23"/>
      <c r="K78" s="23">
        <f t="shared" ref="K78:K86" si="91">+D78+I78</f>
        <v>0.65694444444444444</v>
      </c>
      <c r="L78" s="30">
        <f>(TrCeib11815[[#This Row],[HORA_FIN]]-TrCeib11815[[#This Row],[HORA_INI]])+TrCeib11815[[#This Row],[Tt_tex]]</f>
        <v>2.430555555555558E-2</v>
      </c>
      <c r="M78" s="40"/>
      <c r="O78" t="s">
        <v>109</v>
      </c>
      <c r="P78" s="28">
        <v>6</v>
      </c>
      <c r="Q78" s="23">
        <v>0.66666666666666663</v>
      </c>
      <c r="R78" s="23">
        <f t="shared" si="80"/>
        <v>4.8611111111110938E-3</v>
      </c>
      <c r="S78" s="23">
        <f>VLOOKUP(VeredaTr12916[[#This Row],[HORA_INI]],Ruta2[[HORA]:[iD]],5,TRUE)</f>
        <v>4.8611111111111112E-3</v>
      </c>
      <c r="T78" s="23">
        <f t="shared" si="75"/>
        <v>2.4305555555555556E-2</v>
      </c>
      <c r="U78" s="23">
        <f t="shared" si="89"/>
        <v>0.69097222222222221</v>
      </c>
      <c r="V78" s="23">
        <f t="shared" si="90"/>
        <v>0</v>
      </c>
      <c r="W78" s="23">
        <v>3.472222222222222E-3</v>
      </c>
      <c r="X78" s="23">
        <f t="shared" si="76"/>
        <v>0.66666666666666663</v>
      </c>
      <c r="Y78" s="30">
        <f>(U78-Q78+VeredaTr12916[[#This Row],[Tt_tex]])</f>
        <v>2.7777777777777804E-2</v>
      </c>
    </row>
    <row r="79" spans="2:25" x14ac:dyDescent="0.35">
      <c r="B79" t="s">
        <v>108</v>
      </c>
      <c r="C79" s="28">
        <v>2</v>
      </c>
      <c r="D79" s="23">
        <v>0.66180555555555554</v>
      </c>
      <c r="E79" s="23">
        <f t="shared" si="85"/>
        <v>4.8611111111110938E-3</v>
      </c>
      <c r="F79" s="23">
        <f>VLOOKUP(TrCeib11815[[#This Row],[HORA_INI]],Ruta1[[HORA]:[iD]],5,TRUE)</f>
        <v>4.8611111111111112E-3</v>
      </c>
      <c r="G79" s="23">
        <f t="shared" si="86"/>
        <v>2.4305555555555556E-2</v>
      </c>
      <c r="H79" s="23">
        <f t="shared" si="87"/>
        <v>0.68611111111111112</v>
      </c>
      <c r="I79" s="23">
        <f t="shared" si="88"/>
        <v>0</v>
      </c>
      <c r="J79" s="23"/>
      <c r="K79" s="23">
        <f t="shared" si="91"/>
        <v>0.66180555555555554</v>
      </c>
      <c r="L79" s="30">
        <f>(TrCeib11815[[#This Row],[HORA_FIN]]-TrCeib11815[[#This Row],[HORA_INI]])+TrCeib11815[[#This Row],[Tt_tex]]</f>
        <v>2.430555555555558E-2</v>
      </c>
      <c r="M79" s="40"/>
      <c r="O79" t="s">
        <v>109</v>
      </c>
      <c r="P79" s="28">
        <v>7</v>
      </c>
      <c r="Q79" s="23">
        <v>0.67152777777777772</v>
      </c>
      <c r="R79" s="23">
        <f t="shared" si="80"/>
        <v>4.8611111111110938E-3</v>
      </c>
      <c r="S79" s="23">
        <f>VLOOKUP(VeredaTr12916[[#This Row],[HORA_INI]],Ruta2[[HORA]:[iD]],5,TRUE)</f>
        <v>4.8611111111111112E-3</v>
      </c>
      <c r="T79" s="23">
        <f t="shared" si="75"/>
        <v>2.4305555555555556E-2</v>
      </c>
      <c r="U79" s="23">
        <f t="shared" si="89"/>
        <v>0.6958333333333333</v>
      </c>
      <c r="V79" s="23">
        <f t="shared" si="90"/>
        <v>0</v>
      </c>
      <c r="W79" s="23">
        <v>1.3888888888888889E-3</v>
      </c>
      <c r="X79" s="23">
        <f t="shared" si="76"/>
        <v>0.67152777777777772</v>
      </c>
      <c r="Y79" s="30">
        <f>(U79-Q79+VeredaTr12916[[#This Row],[Tt_tex]])</f>
        <v>2.5694444444444468E-2</v>
      </c>
    </row>
    <row r="80" spans="2:25" x14ac:dyDescent="0.35">
      <c r="B80" t="s">
        <v>108</v>
      </c>
      <c r="C80" s="28">
        <v>3</v>
      </c>
      <c r="D80" s="23">
        <v>0.66666666666666674</v>
      </c>
      <c r="E80" s="23">
        <f t="shared" si="85"/>
        <v>4.8611111111112049E-3</v>
      </c>
      <c r="F80" s="23">
        <f>VLOOKUP(TrCeib11815[[#This Row],[HORA_INI]],Ruta1[[HORA]:[iD]],5,TRUE)</f>
        <v>4.8611111111111112E-3</v>
      </c>
      <c r="G80" s="23">
        <f t="shared" si="86"/>
        <v>2.4305555555555556E-2</v>
      </c>
      <c r="H80" s="23">
        <f t="shared" si="87"/>
        <v>0.69097222222222232</v>
      </c>
      <c r="I80" s="23">
        <f t="shared" si="88"/>
        <v>0</v>
      </c>
      <c r="J80" s="23"/>
      <c r="K80" s="23">
        <f t="shared" si="91"/>
        <v>0.66666666666666674</v>
      </c>
      <c r="L80" s="30">
        <f>(TrCeib11815[[#This Row],[HORA_FIN]]-TrCeib11815[[#This Row],[HORA_INI]])+TrCeib11815[[#This Row],[Tt_tex]]</f>
        <v>2.430555555555558E-2</v>
      </c>
      <c r="M80" s="31"/>
      <c r="O80" t="s">
        <v>109</v>
      </c>
      <c r="P80" s="28">
        <v>1</v>
      </c>
      <c r="Q80" s="23">
        <v>0.67638888888888915</v>
      </c>
      <c r="R80" s="23">
        <f t="shared" ref="R80:R102" si="92">Q80-Q79</f>
        <v>4.8611111111114269E-3</v>
      </c>
      <c r="S80" s="23">
        <f>VLOOKUP(VeredaTr12916[[#This Row],[HORA_INI]],Ruta2[[HORA]:[iD]],5,TRUE)</f>
        <v>4.8611111111111112E-3</v>
      </c>
      <c r="T80" s="23">
        <f t="shared" si="75"/>
        <v>2.4305555555555556E-2</v>
      </c>
      <c r="U80" s="23">
        <f t="shared" si="53"/>
        <v>0.70069444444444473</v>
      </c>
      <c r="V80" s="23">
        <f t="shared" si="54"/>
        <v>0</v>
      </c>
      <c r="W80" s="23"/>
      <c r="X80" s="23">
        <f t="shared" ref="X80:X82" si="93">+Q80+V80</f>
        <v>0.67638888888888915</v>
      </c>
      <c r="Y80" s="30">
        <f>(U80-Q80+VeredaTr12916[[#This Row],[Tt_tex]])</f>
        <v>2.430555555555558E-2</v>
      </c>
    </row>
    <row r="81" spans="2:25" x14ac:dyDescent="0.35">
      <c r="B81" t="s">
        <v>108</v>
      </c>
      <c r="C81" s="28">
        <v>5</v>
      </c>
      <c r="D81" s="23">
        <v>0.67152777777777783</v>
      </c>
      <c r="E81" s="23">
        <f t="shared" si="85"/>
        <v>4.8611111111110938E-3</v>
      </c>
      <c r="F81" s="23">
        <f>VLOOKUP(TrCeib11815[[#This Row],[HORA_INI]],Ruta1[[HORA]:[iD]],5,TRUE)</f>
        <v>4.8611111111111112E-3</v>
      </c>
      <c r="G81" s="23">
        <f t="shared" si="86"/>
        <v>2.4305555555555556E-2</v>
      </c>
      <c r="H81" s="23">
        <f t="shared" si="87"/>
        <v>0.69583333333333341</v>
      </c>
      <c r="I81" s="23">
        <f t="shared" si="88"/>
        <v>0</v>
      </c>
      <c r="J81" s="23"/>
      <c r="K81" s="23">
        <f t="shared" si="91"/>
        <v>0.67152777777777783</v>
      </c>
      <c r="L81" s="30">
        <f>(TrCeib11815[[#This Row],[HORA_FIN]]-TrCeib11815[[#This Row],[HORA_INI]])+TrCeib11815[[#This Row],[Tt_tex]]</f>
        <v>2.430555555555558E-2</v>
      </c>
      <c r="M81" s="31"/>
      <c r="O81" t="s">
        <v>109</v>
      </c>
      <c r="P81" s="28">
        <v>9</v>
      </c>
      <c r="Q81" s="23">
        <v>0.68125000000000002</v>
      </c>
      <c r="R81" s="23">
        <f t="shared" si="92"/>
        <v>4.8611111111108718E-3</v>
      </c>
      <c r="S81" s="23">
        <f>VLOOKUP(VeredaTr12916[[#This Row],[HORA_INI]],Ruta2[[HORA]:[iD]],5,TRUE)</f>
        <v>4.8611111111111112E-3</v>
      </c>
      <c r="T81" s="23">
        <f t="shared" si="75"/>
        <v>2.4305555555555556E-2</v>
      </c>
      <c r="U81" s="23">
        <f t="shared" si="53"/>
        <v>0.7055555555555556</v>
      </c>
      <c r="V81" s="23">
        <f t="shared" si="54"/>
        <v>0</v>
      </c>
      <c r="W81" s="23"/>
      <c r="X81" s="23">
        <f t="shared" si="93"/>
        <v>0.68125000000000002</v>
      </c>
      <c r="Y81" s="30">
        <f>(U81-Q81+VeredaTr12916[[#This Row],[Tt_tex]])</f>
        <v>2.430555555555558E-2</v>
      </c>
    </row>
    <row r="82" spans="2:25" x14ac:dyDescent="0.35">
      <c r="B82" t="s">
        <v>108</v>
      </c>
      <c r="C82" s="28">
        <v>4</v>
      </c>
      <c r="D82" s="23">
        <v>0.67638888888888893</v>
      </c>
      <c r="E82" s="23">
        <f t="shared" si="85"/>
        <v>4.8611111111110938E-3</v>
      </c>
      <c r="F82" s="23">
        <f>VLOOKUP(TrCeib11815[[#This Row],[HORA_INI]],Ruta1[[HORA]:[iD]],5,TRUE)</f>
        <v>4.8611111111111112E-3</v>
      </c>
      <c r="G82" s="23">
        <f t="shared" si="86"/>
        <v>2.4305555555555556E-2</v>
      </c>
      <c r="H82" s="23">
        <f t="shared" si="87"/>
        <v>0.70069444444444451</v>
      </c>
      <c r="I82" s="23">
        <f t="shared" si="88"/>
        <v>0</v>
      </c>
      <c r="J82" s="23"/>
      <c r="K82" s="23">
        <f>+D82+I82</f>
        <v>0.67638888888888893</v>
      </c>
      <c r="L82" s="30">
        <f>(TrCeib11815[[#This Row],[HORA_FIN]]-TrCeib11815[[#This Row],[HORA_INI]])+TrCeib11815[[#This Row],[Tt_tex]]</f>
        <v>2.430555555555558E-2</v>
      </c>
      <c r="M82" s="31"/>
      <c r="O82" t="s">
        <v>109</v>
      </c>
      <c r="P82" s="28">
        <v>2</v>
      </c>
      <c r="Q82" s="23">
        <v>0.68611111111111112</v>
      </c>
      <c r="R82" s="23">
        <f t="shared" si="92"/>
        <v>4.8611111111110938E-3</v>
      </c>
      <c r="S82" s="23">
        <f>VLOOKUP(VeredaTr12916[[#This Row],[HORA_INI]],Ruta2[[HORA]:[iD]],5,TRUE)</f>
        <v>4.8611111111111112E-3</v>
      </c>
      <c r="T82" s="23">
        <f t="shared" si="75"/>
        <v>2.4305555555555556E-2</v>
      </c>
      <c r="U82" s="23">
        <f t="shared" si="53"/>
        <v>0.7104166666666667</v>
      </c>
      <c r="V82" s="23">
        <f t="shared" si="54"/>
        <v>0</v>
      </c>
      <c r="W82" s="23"/>
      <c r="X82" s="23">
        <f t="shared" si="93"/>
        <v>0.68611111111111112</v>
      </c>
      <c r="Y82" s="30">
        <f>(U82-Q82+VeredaTr12916[[#This Row],[Tt_tex]])</f>
        <v>2.430555555555558E-2</v>
      </c>
    </row>
    <row r="83" spans="2:25" x14ac:dyDescent="0.35">
      <c r="B83" t="s">
        <v>108</v>
      </c>
      <c r="C83" s="28">
        <v>10</v>
      </c>
      <c r="D83" s="23">
        <v>0.68125000000000002</v>
      </c>
      <c r="E83" s="23">
        <f t="shared" si="85"/>
        <v>4.8611111111110938E-3</v>
      </c>
      <c r="F83" s="23">
        <f>VLOOKUP(TrCeib11815[[#This Row],[HORA_INI]],Ruta1[[HORA]:[iD]],5,TRUE)</f>
        <v>4.8611111111111112E-3</v>
      </c>
      <c r="G83" s="23">
        <f t="shared" si="86"/>
        <v>2.4305555555555556E-2</v>
      </c>
      <c r="H83" s="23">
        <f t="shared" si="87"/>
        <v>0.7055555555555556</v>
      </c>
      <c r="I83" s="23">
        <f t="shared" si="88"/>
        <v>0</v>
      </c>
      <c r="J83" s="23"/>
      <c r="K83" s="23">
        <f t="shared" si="91"/>
        <v>0.68125000000000002</v>
      </c>
      <c r="L83" s="30">
        <f>(TrCeib11815[[#This Row],[HORA_FIN]]-TrCeib11815[[#This Row],[HORA_INI]])+TrCeib11815[[#This Row],[Tt_tex]]</f>
        <v>2.430555555555558E-2</v>
      </c>
      <c r="M83" s="31"/>
      <c r="O83" t="s">
        <v>109</v>
      </c>
      <c r="P83" s="28">
        <v>3</v>
      </c>
      <c r="Q83" s="23">
        <v>0.69097222222222232</v>
      </c>
      <c r="R83" s="23">
        <f t="shared" si="92"/>
        <v>4.8611111111112049E-3</v>
      </c>
      <c r="S83" s="23">
        <f>VLOOKUP(VeredaTr12916[[#This Row],[HORA_INI]],Ruta2[[HORA]:[iD]],5,TRUE)</f>
        <v>4.8611111111111112E-3</v>
      </c>
      <c r="T83" s="23">
        <f t="shared" si="75"/>
        <v>2.4305555555555556E-2</v>
      </c>
      <c r="U83" s="23">
        <f t="shared" si="53"/>
        <v>0.7152777777777779</v>
      </c>
      <c r="V83" s="23">
        <f t="shared" si="54"/>
        <v>0</v>
      </c>
      <c r="W83" s="23"/>
      <c r="X83" s="23">
        <f t="shared" ref="X83:X92" si="94">+Q83+V83</f>
        <v>0.69097222222222232</v>
      </c>
      <c r="Y83" s="30">
        <f>(U83-Q83+VeredaTr12916[[#This Row],[Tt_tex]])</f>
        <v>2.430555555555558E-2</v>
      </c>
    </row>
    <row r="84" spans="2:25" x14ac:dyDescent="0.35">
      <c r="B84" t="s">
        <v>108</v>
      </c>
      <c r="C84" s="28">
        <v>8</v>
      </c>
      <c r="D84" s="23">
        <v>0.68611111111111112</v>
      </c>
      <c r="E84" s="23">
        <f t="shared" si="85"/>
        <v>4.8611111111110938E-3</v>
      </c>
      <c r="F84" s="23">
        <f>VLOOKUP(TrCeib11815[[#This Row],[HORA_INI]],Ruta1[[HORA]:[iD]],5,TRUE)</f>
        <v>4.8611111111111112E-3</v>
      </c>
      <c r="G84" s="23">
        <f t="shared" si="86"/>
        <v>2.4305555555555556E-2</v>
      </c>
      <c r="H84" s="23">
        <f t="shared" si="87"/>
        <v>0.7104166666666667</v>
      </c>
      <c r="I84" s="23">
        <f t="shared" si="88"/>
        <v>0</v>
      </c>
      <c r="J84" s="23"/>
      <c r="K84" s="23">
        <f t="shared" si="91"/>
        <v>0.68611111111111112</v>
      </c>
      <c r="L84" s="30">
        <f>(TrCeib11815[[#This Row],[HORA_FIN]]-TrCeib11815[[#This Row],[HORA_INI]])+TrCeib11815[[#This Row],[Tt_tex]]</f>
        <v>2.430555555555558E-2</v>
      </c>
      <c r="M84" s="40"/>
      <c r="O84" t="s">
        <v>109</v>
      </c>
      <c r="P84" s="28">
        <v>5</v>
      </c>
      <c r="Q84" s="23">
        <v>0.69583333333333341</v>
      </c>
      <c r="R84" s="23">
        <f t="shared" si="92"/>
        <v>4.8611111111110938E-3</v>
      </c>
      <c r="S84" s="23">
        <f>VLOOKUP(VeredaTr12916[[#This Row],[HORA_INI]],Ruta2[[HORA]:[iD]],5,TRUE)</f>
        <v>4.8611111111111112E-3</v>
      </c>
      <c r="T84" s="23">
        <f t="shared" si="75"/>
        <v>2.4305555555555556E-2</v>
      </c>
      <c r="U84" s="23">
        <f t="shared" si="53"/>
        <v>0.72013888888888899</v>
      </c>
      <c r="V84" s="23">
        <f t="shared" si="54"/>
        <v>0</v>
      </c>
      <c r="W84" s="23"/>
      <c r="X84" s="23">
        <f t="shared" si="94"/>
        <v>0.69583333333333341</v>
      </c>
      <c r="Y84" s="30">
        <f>(U84-Q84+VeredaTr12916[[#This Row],[Tt_tex]])</f>
        <v>2.430555555555558E-2</v>
      </c>
    </row>
    <row r="85" spans="2:25" x14ac:dyDescent="0.35">
      <c r="B85" t="s">
        <v>108</v>
      </c>
      <c r="C85" s="28">
        <v>6</v>
      </c>
      <c r="D85" s="23">
        <v>0.69097222222222221</v>
      </c>
      <c r="E85" s="23">
        <f t="shared" si="85"/>
        <v>4.8611111111110938E-3</v>
      </c>
      <c r="F85" s="23">
        <f>VLOOKUP(TrCeib11815[[#This Row],[HORA_INI]],Ruta1[[HORA]:[iD]],5,TRUE)</f>
        <v>4.8611111111111112E-3</v>
      </c>
      <c r="G85" s="23">
        <f t="shared" si="86"/>
        <v>2.4305555555555556E-2</v>
      </c>
      <c r="H85" s="23">
        <f t="shared" si="87"/>
        <v>0.71527777777777779</v>
      </c>
      <c r="I85" s="23">
        <f t="shared" si="88"/>
        <v>0</v>
      </c>
      <c r="J85" s="23"/>
      <c r="K85" s="23">
        <f t="shared" si="91"/>
        <v>0.69097222222222221</v>
      </c>
      <c r="L85" s="30">
        <f>(TrCeib11815[[#This Row],[HORA_FIN]]-TrCeib11815[[#This Row],[HORA_INI]])+TrCeib11815[[#This Row],[Tt_tex]]</f>
        <v>2.430555555555558E-2</v>
      </c>
      <c r="M85" s="40"/>
      <c r="O85" t="s">
        <v>109</v>
      </c>
      <c r="P85" s="28">
        <v>4</v>
      </c>
      <c r="Q85" s="23">
        <v>0.70069444444444451</v>
      </c>
      <c r="R85" s="23">
        <f t="shared" si="92"/>
        <v>4.8611111111110938E-3</v>
      </c>
      <c r="S85" s="23">
        <f>VLOOKUP(VeredaTr12916[[#This Row],[HORA_INI]],Ruta2[[HORA]:[iD]],5,TRUE)</f>
        <v>4.8611111111111112E-3</v>
      </c>
      <c r="T85" s="23">
        <f t="shared" si="75"/>
        <v>2.4305555555555556E-2</v>
      </c>
      <c r="U85" s="23">
        <f t="shared" si="53"/>
        <v>0.72500000000000009</v>
      </c>
      <c r="V85" s="23">
        <f t="shared" si="54"/>
        <v>0</v>
      </c>
      <c r="W85" s="23"/>
      <c r="X85" s="23">
        <f t="shared" si="94"/>
        <v>0.70069444444444451</v>
      </c>
      <c r="Y85" s="30">
        <f>(U85-Q85+VeredaTr12916[[#This Row],[Tt_tex]])</f>
        <v>2.430555555555558E-2</v>
      </c>
    </row>
    <row r="86" spans="2:25" x14ac:dyDescent="0.35">
      <c r="B86" t="s">
        <v>108</v>
      </c>
      <c r="C86" s="28">
        <v>7</v>
      </c>
      <c r="D86" s="23">
        <v>0.6958333333333333</v>
      </c>
      <c r="E86" s="23">
        <f t="shared" si="85"/>
        <v>4.8611111111110938E-3</v>
      </c>
      <c r="F86" s="23">
        <f>VLOOKUP(TrCeib11815[[#This Row],[HORA_INI]],Ruta1[[HORA]:[iD]],5,TRUE)</f>
        <v>4.8611111111111112E-3</v>
      </c>
      <c r="G86" s="23">
        <f t="shared" si="86"/>
        <v>2.4305555555555556E-2</v>
      </c>
      <c r="H86" s="23">
        <f t="shared" si="87"/>
        <v>0.72013888888888888</v>
      </c>
      <c r="I86" s="23">
        <f t="shared" si="88"/>
        <v>0</v>
      </c>
      <c r="J86" s="23"/>
      <c r="K86" s="23">
        <f t="shared" si="91"/>
        <v>0.6958333333333333</v>
      </c>
      <c r="L86" s="30">
        <f>(TrCeib11815[[#This Row],[HORA_FIN]]-TrCeib11815[[#This Row],[HORA_INI]])+TrCeib11815[[#This Row],[Tt_tex]]</f>
        <v>2.430555555555558E-2</v>
      </c>
      <c r="M86" s="40"/>
      <c r="O86" t="s">
        <v>109</v>
      </c>
      <c r="P86" s="28">
        <v>10</v>
      </c>
      <c r="Q86" s="23">
        <v>0.7055555555555556</v>
      </c>
      <c r="R86" s="23">
        <f t="shared" si="92"/>
        <v>4.8611111111110938E-3</v>
      </c>
      <c r="S86" s="23">
        <f>VLOOKUP(VeredaTr12916[[#This Row],[HORA_INI]],Ruta2[[HORA]:[iD]],5,TRUE)</f>
        <v>4.8611111111111112E-3</v>
      </c>
      <c r="T86" s="23">
        <f t="shared" si="75"/>
        <v>2.4305555555555556E-2</v>
      </c>
      <c r="U86" s="23">
        <f t="shared" si="53"/>
        <v>0.72986111111111118</v>
      </c>
      <c r="V86" s="23">
        <f t="shared" si="54"/>
        <v>0</v>
      </c>
      <c r="W86" s="23"/>
      <c r="X86" s="23">
        <f t="shared" si="94"/>
        <v>0.7055555555555556</v>
      </c>
      <c r="Y86" s="30">
        <f>(U86-Q86+VeredaTr12916[[#This Row],[Tt_tex]])</f>
        <v>2.430555555555558E-2</v>
      </c>
    </row>
    <row r="87" spans="2:25" x14ac:dyDescent="0.35">
      <c r="B87" t="s">
        <v>108</v>
      </c>
      <c r="C87" s="28">
        <v>1</v>
      </c>
      <c r="D87" s="23">
        <v>0.70069444444444473</v>
      </c>
      <c r="E87" s="23">
        <f t="shared" si="85"/>
        <v>4.8611111111114269E-3</v>
      </c>
      <c r="F87" s="23">
        <f>VLOOKUP(TrCeib11815[[#This Row],[HORA_INI]],Ruta1[[HORA]:[iD]],5,TRUE)</f>
        <v>4.8611111111111112E-3</v>
      </c>
      <c r="G87" s="23">
        <f t="shared" si="86"/>
        <v>2.4305555555555556E-2</v>
      </c>
      <c r="H87" s="23">
        <f t="shared" si="87"/>
        <v>0.72500000000000031</v>
      </c>
      <c r="I87" s="23">
        <f t="shared" si="88"/>
        <v>0</v>
      </c>
      <c r="J87" s="23"/>
      <c r="K87" s="23">
        <f t="shared" ref="K87:K96" si="95">+D87+I87</f>
        <v>0.70069444444444473</v>
      </c>
      <c r="L87" s="30">
        <f>(TrCeib11815[[#This Row],[HORA_FIN]]-TrCeib11815[[#This Row],[HORA_INI]])+TrCeib11815[[#This Row],[Tt_tex]]</f>
        <v>2.430555555555558E-2</v>
      </c>
      <c r="M87" s="40"/>
      <c r="O87" t="s">
        <v>109</v>
      </c>
      <c r="P87" s="28">
        <v>8</v>
      </c>
      <c r="Q87" s="23">
        <v>0.7104166666666667</v>
      </c>
      <c r="R87" s="23">
        <f t="shared" si="92"/>
        <v>4.8611111111110938E-3</v>
      </c>
      <c r="S87" s="23">
        <f>VLOOKUP(VeredaTr12916[[#This Row],[HORA_INI]],Ruta2[[HORA]:[iD]],5,TRUE)</f>
        <v>4.8611111111111103E-3</v>
      </c>
      <c r="T87" s="23">
        <f t="shared" si="75"/>
        <v>2.4305555555555556E-2</v>
      </c>
      <c r="U87" s="23">
        <f t="shared" si="53"/>
        <v>0.73472222222222228</v>
      </c>
      <c r="V87" s="23">
        <f t="shared" si="54"/>
        <v>0</v>
      </c>
      <c r="W87" s="23"/>
      <c r="X87" s="23">
        <f t="shared" si="94"/>
        <v>0.7104166666666667</v>
      </c>
      <c r="Y87" s="30">
        <f>(U87-Q87+VeredaTr12916[[#This Row],[Tt_tex]])</f>
        <v>2.430555555555558E-2</v>
      </c>
    </row>
    <row r="88" spans="2:25" x14ac:dyDescent="0.35">
      <c r="B88" t="s">
        <v>108</v>
      </c>
      <c r="C88" s="28">
        <v>9</v>
      </c>
      <c r="D88" s="23">
        <v>0.7055555555555556</v>
      </c>
      <c r="E88" s="23">
        <f t="shared" si="85"/>
        <v>4.8611111111108718E-3</v>
      </c>
      <c r="F88" s="23">
        <f>VLOOKUP(TrCeib11815[[#This Row],[HORA_INI]],Ruta1[[HORA]:[iD]],5,TRUE)</f>
        <v>4.8611111111111112E-3</v>
      </c>
      <c r="G88" s="23">
        <f t="shared" si="86"/>
        <v>2.4305555555555556E-2</v>
      </c>
      <c r="H88" s="23">
        <f t="shared" si="87"/>
        <v>0.72986111111111118</v>
      </c>
      <c r="I88" s="23">
        <f t="shared" si="88"/>
        <v>0</v>
      </c>
      <c r="J88" s="23"/>
      <c r="K88" s="23">
        <f t="shared" si="95"/>
        <v>0.7055555555555556</v>
      </c>
      <c r="L88" s="30">
        <f>(TrCeib11815[[#This Row],[HORA_FIN]]-TrCeib11815[[#This Row],[HORA_INI]])+TrCeib11815[[#This Row],[Tt_tex]]</f>
        <v>2.430555555555558E-2</v>
      </c>
      <c r="M88" s="40"/>
      <c r="O88" t="s">
        <v>109</v>
      </c>
      <c r="P88" s="28">
        <v>6</v>
      </c>
      <c r="Q88" s="23">
        <v>0.71527777777777779</v>
      </c>
      <c r="R88" s="23">
        <f t="shared" si="92"/>
        <v>4.8611111111110938E-3</v>
      </c>
      <c r="S88" s="23">
        <f>VLOOKUP(VeredaTr12916[[#This Row],[HORA_INI]],Ruta2[[HORA]:[iD]],5,TRUE)</f>
        <v>4.8611111111111103E-3</v>
      </c>
      <c r="T88" s="23">
        <f t="shared" si="75"/>
        <v>2.4305555555555556E-2</v>
      </c>
      <c r="U88" s="23">
        <f t="shared" si="53"/>
        <v>0.73958333333333337</v>
      </c>
      <c r="V88" s="23">
        <f t="shared" si="54"/>
        <v>0</v>
      </c>
      <c r="W88" s="23"/>
      <c r="X88" s="23">
        <f t="shared" si="94"/>
        <v>0.71527777777777779</v>
      </c>
      <c r="Y88" s="30">
        <f>(U88-Q88+VeredaTr12916[[#This Row],[Tt_tex]])</f>
        <v>2.430555555555558E-2</v>
      </c>
    </row>
    <row r="89" spans="2:25" x14ac:dyDescent="0.35">
      <c r="B89" t="s">
        <v>108</v>
      </c>
      <c r="C89" s="28">
        <v>2</v>
      </c>
      <c r="D89" s="23">
        <v>0.7104166666666667</v>
      </c>
      <c r="E89" s="23">
        <f t="shared" si="85"/>
        <v>4.8611111111110938E-3</v>
      </c>
      <c r="F89" s="23">
        <f>VLOOKUP(TrCeib11815[[#This Row],[HORA_INI]],Ruta1[[HORA]:[iD]],5,TRUE)</f>
        <v>4.8611111111111112E-3</v>
      </c>
      <c r="G89" s="23">
        <f t="shared" si="86"/>
        <v>2.4305555555555556E-2</v>
      </c>
      <c r="H89" s="23">
        <f t="shared" si="87"/>
        <v>0.73472222222222228</v>
      </c>
      <c r="I89" s="23">
        <f t="shared" si="88"/>
        <v>0</v>
      </c>
      <c r="J89" s="23"/>
      <c r="K89" s="23">
        <f t="shared" si="95"/>
        <v>0.7104166666666667</v>
      </c>
      <c r="L89" s="30">
        <f>(TrCeib11815[[#This Row],[HORA_FIN]]-TrCeib11815[[#This Row],[HORA_INI]])+TrCeib11815[[#This Row],[Tt_tex]]</f>
        <v>2.430555555555558E-2</v>
      </c>
      <c r="M89" s="40"/>
      <c r="O89" t="s">
        <v>109</v>
      </c>
      <c r="P89" s="28">
        <v>7</v>
      </c>
      <c r="Q89" s="23">
        <v>0.72013888888888888</v>
      </c>
      <c r="R89" s="23">
        <f t="shared" si="92"/>
        <v>4.8611111111110938E-3</v>
      </c>
      <c r="S89" s="23">
        <f>VLOOKUP(VeredaTr12916[[#This Row],[HORA_INI]],Ruta2[[HORA]:[iD]],5,TRUE)</f>
        <v>4.8611111111111103E-3</v>
      </c>
      <c r="T89" s="23">
        <f t="shared" si="75"/>
        <v>2.4305555555555556E-2</v>
      </c>
      <c r="U89" s="23">
        <f t="shared" si="53"/>
        <v>0.74444444444444446</v>
      </c>
      <c r="V89" s="23">
        <f t="shared" si="54"/>
        <v>0</v>
      </c>
      <c r="W89" s="23"/>
      <c r="X89" s="23">
        <f t="shared" si="94"/>
        <v>0.72013888888888888</v>
      </c>
      <c r="Y89" s="30">
        <f>(U89-Q89+VeredaTr12916[[#This Row],[Tt_tex]])</f>
        <v>2.430555555555558E-2</v>
      </c>
    </row>
    <row r="90" spans="2:25" x14ac:dyDescent="0.35">
      <c r="B90" t="s">
        <v>108</v>
      </c>
      <c r="C90" s="28">
        <v>3</v>
      </c>
      <c r="D90" s="23">
        <v>0.7152777777777779</v>
      </c>
      <c r="E90" s="23">
        <f t="shared" si="85"/>
        <v>4.8611111111112049E-3</v>
      </c>
      <c r="F90" s="23">
        <f>VLOOKUP(TrCeib11815[[#This Row],[HORA_INI]],Ruta1[[HORA]:[iD]],5,TRUE)</f>
        <v>4.8611111111111112E-3</v>
      </c>
      <c r="G90" s="23">
        <f t="shared" si="86"/>
        <v>2.4305555555555556E-2</v>
      </c>
      <c r="H90" s="23">
        <f t="shared" si="87"/>
        <v>0.73958333333333348</v>
      </c>
      <c r="I90" s="23">
        <f t="shared" si="88"/>
        <v>0</v>
      </c>
      <c r="J90" s="23"/>
      <c r="K90" s="23">
        <f t="shared" si="95"/>
        <v>0.7152777777777779</v>
      </c>
      <c r="L90" s="30">
        <f>(TrCeib11815[[#This Row],[HORA_FIN]]-TrCeib11815[[#This Row],[HORA_INI]])+TrCeib11815[[#This Row],[Tt_tex]]</f>
        <v>2.430555555555558E-2</v>
      </c>
      <c r="M90" s="31"/>
      <c r="O90" t="s">
        <v>109</v>
      </c>
      <c r="P90" s="28">
        <v>1</v>
      </c>
      <c r="Q90" s="23">
        <v>0.72500000000000031</v>
      </c>
      <c r="R90" s="23">
        <f t="shared" si="92"/>
        <v>4.8611111111114269E-3</v>
      </c>
      <c r="S90" s="23">
        <f>VLOOKUP(VeredaTr12916[[#This Row],[HORA_INI]],Ruta2[[HORA]:[iD]],5,TRUE)</f>
        <v>4.8611111111111103E-3</v>
      </c>
      <c r="T90" s="23">
        <f t="shared" si="75"/>
        <v>2.4305555555555556E-2</v>
      </c>
      <c r="U90" s="23">
        <f t="shared" si="53"/>
        <v>0.74930555555555589</v>
      </c>
      <c r="V90" s="23">
        <f t="shared" si="54"/>
        <v>0</v>
      </c>
      <c r="W90" s="23"/>
      <c r="X90" s="23">
        <f t="shared" si="94"/>
        <v>0.72500000000000031</v>
      </c>
      <c r="Y90" s="30">
        <f>(U90-Q90+VeredaTr12916[[#This Row],[Tt_tex]])</f>
        <v>2.430555555555558E-2</v>
      </c>
    </row>
    <row r="91" spans="2:25" x14ac:dyDescent="0.35">
      <c r="B91" t="s">
        <v>108</v>
      </c>
      <c r="C91" s="28">
        <v>5</v>
      </c>
      <c r="D91" s="23">
        <v>0.72013888888888899</v>
      </c>
      <c r="E91" s="23">
        <f t="shared" si="85"/>
        <v>4.8611111111110938E-3</v>
      </c>
      <c r="F91" s="23">
        <f>VLOOKUP(TrCeib11815[[#This Row],[HORA_INI]],Ruta1[[HORA]:[iD]],5,TRUE)</f>
        <v>4.8611111111111112E-3</v>
      </c>
      <c r="G91" s="23">
        <f t="shared" si="86"/>
        <v>2.4305555555555556E-2</v>
      </c>
      <c r="H91" s="23">
        <f t="shared" si="87"/>
        <v>0.74444444444444458</v>
      </c>
      <c r="I91" s="23">
        <f t="shared" si="88"/>
        <v>0</v>
      </c>
      <c r="J91" s="23"/>
      <c r="K91" s="23">
        <f t="shared" si="95"/>
        <v>0.72013888888888899</v>
      </c>
      <c r="L91" s="30">
        <f>(TrCeib11815[[#This Row],[HORA_FIN]]-TrCeib11815[[#This Row],[HORA_INI]])+TrCeib11815[[#This Row],[Tt_tex]]</f>
        <v>2.430555555555558E-2</v>
      </c>
      <c r="M91" s="40"/>
      <c r="O91" t="s">
        <v>109</v>
      </c>
      <c r="P91" s="28">
        <v>9</v>
      </c>
      <c r="Q91" s="23">
        <v>0.72986111111111118</v>
      </c>
      <c r="R91" s="23">
        <f t="shared" si="92"/>
        <v>4.8611111111108718E-3</v>
      </c>
      <c r="S91" s="23">
        <f>VLOOKUP(VeredaTr12916[[#This Row],[HORA_INI]],Ruta2[[HORA]:[iD]],5,TRUE)</f>
        <v>4.8611111111111103E-3</v>
      </c>
      <c r="T91" s="23">
        <f t="shared" si="75"/>
        <v>2.4305555555555556E-2</v>
      </c>
      <c r="U91" s="23">
        <f t="shared" si="53"/>
        <v>0.75416666666666676</v>
      </c>
      <c r="V91" s="23">
        <f t="shared" si="54"/>
        <v>0</v>
      </c>
      <c r="W91" s="23"/>
      <c r="X91" s="23">
        <f t="shared" si="94"/>
        <v>0.72986111111111118</v>
      </c>
      <c r="Y91" s="30">
        <f>(U91-Q91+VeredaTr12916[[#This Row],[Tt_tex]])</f>
        <v>2.430555555555558E-2</v>
      </c>
    </row>
    <row r="92" spans="2:25" x14ac:dyDescent="0.35">
      <c r="B92" t="s">
        <v>108</v>
      </c>
      <c r="C92" s="28">
        <v>4</v>
      </c>
      <c r="D92" s="23">
        <v>0.72500000000000009</v>
      </c>
      <c r="E92" s="23">
        <f t="shared" si="85"/>
        <v>4.8611111111110938E-3</v>
      </c>
      <c r="F92" s="23">
        <f>VLOOKUP(TrCeib11815[[#This Row],[HORA_INI]],Ruta1[[HORA]:[iD]],5,TRUE)</f>
        <v>4.8611111111111112E-3</v>
      </c>
      <c r="G92" s="23">
        <f t="shared" si="86"/>
        <v>2.4305555555555556E-2</v>
      </c>
      <c r="H92" s="23">
        <f t="shared" si="87"/>
        <v>0.74930555555555567</v>
      </c>
      <c r="I92" s="23">
        <f t="shared" si="88"/>
        <v>0</v>
      </c>
      <c r="J92" s="23"/>
      <c r="K92" s="23">
        <f t="shared" si="95"/>
        <v>0.72500000000000009</v>
      </c>
      <c r="L92" s="30">
        <f>(TrCeib11815[[#This Row],[HORA_FIN]]-TrCeib11815[[#This Row],[HORA_INI]])+TrCeib11815[[#This Row],[Tt_tex]]</f>
        <v>2.430555555555558E-2</v>
      </c>
      <c r="M92" s="31"/>
      <c r="O92" t="s">
        <v>109</v>
      </c>
      <c r="P92" s="28">
        <v>2</v>
      </c>
      <c r="Q92" s="23">
        <v>0.73472222222222228</v>
      </c>
      <c r="R92" s="23">
        <f t="shared" si="92"/>
        <v>4.8611111111110938E-3</v>
      </c>
      <c r="S92" s="23">
        <f>VLOOKUP(VeredaTr12916[[#This Row],[HORA_INI]],Ruta2[[HORA]:[iD]],5,TRUE)</f>
        <v>4.8611111111111103E-3</v>
      </c>
      <c r="T92" s="23">
        <f t="shared" si="75"/>
        <v>2.4305555555555556E-2</v>
      </c>
      <c r="U92" s="23">
        <f t="shared" si="53"/>
        <v>0.75902777777777786</v>
      </c>
      <c r="V92" s="23">
        <f t="shared" si="54"/>
        <v>0</v>
      </c>
      <c r="W92" s="23"/>
      <c r="X92" s="23">
        <f t="shared" si="94"/>
        <v>0.73472222222222228</v>
      </c>
      <c r="Y92" s="30">
        <f>(U92-Q92+VeredaTr12916[[#This Row],[Tt_tex]])</f>
        <v>2.430555555555558E-2</v>
      </c>
    </row>
    <row r="93" spans="2:25" x14ac:dyDescent="0.35">
      <c r="B93" t="s">
        <v>108</v>
      </c>
      <c r="C93" s="28">
        <v>10</v>
      </c>
      <c r="D93" s="23">
        <v>0.72986111111111118</v>
      </c>
      <c r="E93" s="23">
        <f t="shared" si="85"/>
        <v>4.8611111111110938E-3</v>
      </c>
      <c r="F93" s="23">
        <f>VLOOKUP(TrCeib11815[[#This Row],[HORA_INI]],Ruta1[[HORA]:[iD]],5,TRUE)</f>
        <v>4.8611111111111112E-3</v>
      </c>
      <c r="G93" s="23">
        <f t="shared" si="86"/>
        <v>2.4305555555555556E-2</v>
      </c>
      <c r="H93" s="23">
        <f t="shared" si="87"/>
        <v>0.75416666666666676</v>
      </c>
      <c r="I93" s="23">
        <f t="shared" si="88"/>
        <v>0</v>
      </c>
      <c r="J93" s="23"/>
      <c r="K93" s="23">
        <f t="shared" si="95"/>
        <v>0.72986111111111118</v>
      </c>
      <c r="L93" s="30">
        <f>(TrCeib11815[[#This Row],[HORA_FIN]]-TrCeib11815[[#This Row],[HORA_INI]])+TrCeib11815[[#This Row],[Tt_tex]]</f>
        <v>2.430555555555558E-2</v>
      </c>
      <c r="M93" s="31"/>
      <c r="O93" t="s">
        <v>109</v>
      </c>
      <c r="P93" s="28">
        <v>3</v>
      </c>
      <c r="Q93" s="23">
        <v>0.73958333333333348</v>
      </c>
      <c r="R93" s="23">
        <f t="shared" si="92"/>
        <v>4.8611111111112049E-3</v>
      </c>
      <c r="S93" s="23">
        <f>VLOOKUP(VeredaTr12916[[#This Row],[HORA_INI]],Ruta2[[HORA]:[iD]],5,TRUE)</f>
        <v>4.8611111111111103E-3</v>
      </c>
      <c r="T93" s="23">
        <f t="shared" si="75"/>
        <v>2.4305555555555556E-2</v>
      </c>
      <c r="U93" s="23">
        <f t="shared" si="53"/>
        <v>0.76388888888888906</v>
      </c>
      <c r="V93" s="23">
        <f t="shared" si="54"/>
        <v>0</v>
      </c>
      <c r="W93" s="23"/>
      <c r="X93" s="23">
        <f t="shared" ref="X93:X97" si="96">+Q93+V93</f>
        <v>0.73958333333333348</v>
      </c>
      <c r="Y93" s="30">
        <f>(U93-Q93+VeredaTr12916[[#This Row],[Tt_tex]])</f>
        <v>2.430555555555558E-2</v>
      </c>
    </row>
    <row r="94" spans="2:25" x14ac:dyDescent="0.35">
      <c r="B94" t="s">
        <v>108</v>
      </c>
      <c r="C94" s="28">
        <v>8</v>
      </c>
      <c r="D94" s="23">
        <v>0.73472222222222228</v>
      </c>
      <c r="E94" s="23">
        <f t="shared" si="85"/>
        <v>4.8611111111110938E-3</v>
      </c>
      <c r="F94" s="23">
        <f>VLOOKUP(TrCeib11815[[#This Row],[HORA_INI]],Ruta1[[HORA]:[iD]],5,TRUE)</f>
        <v>4.8611111111111112E-3</v>
      </c>
      <c r="G94" s="23">
        <f t="shared" si="86"/>
        <v>2.4305555555555556E-2</v>
      </c>
      <c r="H94" s="23">
        <f t="shared" si="87"/>
        <v>0.75902777777777786</v>
      </c>
      <c r="I94" s="23">
        <f t="shared" si="88"/>
        <v>0</v>
      </c>
      <c r="J94" s="23"/>
      <c r="K94" s="23">
        <f t="shared" si="95"/>
        <v>0.73472222222222228</v>
      </c>
      <c r="L94" s="30">
        <f>(TrCeib11815[[#This Row],[HORA_FIN]]-TrCeib11815[[#This Row],[HORA_INI]])+TrCeib11815[[#This Row],[Tt_tex]]</f>
        <v>2.430555555555558E-2</v>
      </c>
      <c r="M94" s="31"/>
      <c r="O94" t="s">
        <v>109</v>
      </c>
      <c r="P94" s="28">
        <v>5</v>
      </c>
      <c r="Q94" s="23">
        <v>0.74444444444444458</v>
      </c>
      <c r="R94" s="23">
        <f t="shared" si="92"/>
        <v>4.8611111111110938E-3</v>
      </c>
      <c r="S94" s="23">
        <f>VLOOKUP(VeredaTr12916[[#This Row],[HORA_INI]],Ruta2[[HORA]:[iD]],5,TRUE)</f>
        <v>4.8611111111111103E-3</v>
      </c>
      <c r="T94" s="23">
        <f t="shared" si="75"/>
        <v>2.4305555555555556E-2</v>
      </c>
      <c r="U94" s="23">
        <f t="shared" si="53"/>
        <v>0.76875000000000016</v>
      </c>
      <c r="V94" s="23">
        <f t="shared" si="54"/>
        <v>0</v>
      </c>
      <c r="W94" s="23"/>
      <c r="X94" s="23">
        <f t="shared" si="96"/>
        <v>0.74444444444444458</v>
      </c>
      <c r="Y94" s="30">
        <f>(U94-Q94+VeredaTr12916[[#This Row],[Tt_tex]])</f>
        <v>2.430555555555558E-2</v>
      </c>
    </row>
    <row r="95" spans="2:25" x14ac:dyDescent="0.35">
      <c r="B95" t="s">
        <v>108</v>
      </c>
      <c r="C95" s="28">
        <v>6</v>
      </c>
      <c r="D95" s="23">
        <v>0.73958333333333337</v>
      </c>
      <c r="E95" s="23">
        <f t="shared" si="85"/>
        <v>4.8611111111110938E-3</v>
      </c>
      <c r="F95" s="23">
        <f>VLOOKUP(TrCeib11815[[#This Row],[HORA_INI]],Ruta1[[HORA]:[iD]],5,TRUE)</f>
        <v>4.8611111111111112E-3</v>
      </c>
      <c r="G95" s="23">
        <f t="shared" si="86"/>
        <v>2.4305555555555556E-2</v>
      </c>
      <c r="H95" s="23">
        <f t="shared" si="87"/>
        <v>0.76388888888888895</v>
      </c>
      <c r="I95" s="23">
        <f t="shared" si="88"/>
        <v>0</v>
      </c>
      <c r="J95" s="23"/>
      <c r="K95" s="23">
        <f t="shared" si="95"/>
        <v>0.73958333333333337</v>
      </c>
      <c r="L95" s="30">
        <f>(TrCeib11815[[#This Row],[HORA_FIN]]-TrCeib11815[[#This Row],[HORA_INI]])+TrCeib11815[[#This Row],[Tt_tex]]</f>
        <v>2.430555555555558E-2</v>
      </c>
      <c r="M95" s="31"/>
      <c r="O95" t="s">
        <v>109</v>
      </c>
      <c r="P95" s="28">
        <v>4</v>
      </c>
      <c r="Q95" s="23">
        <v>0.74930555555555567</v>
      </c>
      <c r="R95" s="23">
        <f t="shared" si="92"/>
        <v>4.8611111111110938E-3</v>
      </c>
      <c r="S95" s="23">
        <f>VLOOKUP(VeredaTr12916[[#This Row],[HORA_INI]],Ruta2[[HORA]:[iD]],5,TRUE)</f>
        <v>4.8611111111111103E-3</v>
      </c>
      <c r="T95" s="23">
        <f t="shared" si="75"/>
        <v>2.4305555555555556E-2</v>
      </c>
      <c r="U95" s="23">
        <f t="shared" si="53"/>
        <v>0.77361111111111125</v>
      </c>
      <c r="V95" s="23">
        <f t="shared" si="54"/>
        <v>0</v>
      </c>
      <c r="W95" s="23"/>
      <c r="X95" s="23">
        <f t="shared" si="96"/>
        <v>0.74930555555555567</v>
      </c>
      <c r="Y95" s="30">
        <f>(U95-Q95+VeredaTr12916[[#This Row],[Tt_tex]])</f>
        <v>2.430555555555558E-2</v>
      </c>
    </row>
    <row r="96" spans="2:25" x14ac:dyDescent="0.35">
      <c r="B96" t="s">
        <v>108</v>
      </c>
      <c r="C96" s="28">
        <v>7</v>
      </c>
      <c r="D96" s="23">
        <v>0.74444444444444446</v>
      </c>
      <c r="E96" s="23">
        <f t="shared" si="85"/>
        <v>4.8611111111110938E-3</v>
      </c>
      <c r="F96" s="23">
        <f>VLOOKUP(TrCeib11815[[#This Row],[HORA_INI]],Ruta1[[HORA]:[iD]],5,TRUE)</f>
        <v>4.8611111111111112E-3</v>
      </c>
      <c r="G96" s="23">
        <f t="shared" si="86"/>
        <v>2.4305555555555556E-2</v>
      </c>
      <c r="H96" s="23">
        <f t="shared" si="87"/>
        <v>0.76875000000000004</v>
      </c>
      <c r="I96" s="23">
        <f t="shared" si="88"/>
        <v>0</v>
      </c>
      <c r="J96" s="23"/>
      <c r="K96" s="23">
        <f t="shared" si="95"/>
        <v>0.74444444444444446</v>
      </c>
      <c r="L96" s="30">
        <f>(TrCeib11815[[#This Row],[HORA_FIN]]-TrCeib11815[[#This Row],[HORA_INI]])+TrCeib11815[[#This Row],[Tt_tex]]</f>
        <v>2.430555555555558E-2</v>
      </c>
      <c r="M96" s="31"/>
      <c r="O96" t="s">
        <v>109</v>
      </c>
      <c r="P96" s="28">
        <v>10</v>
      </c>
      <c r="Q96" s="23">
        <v>0.75416666666666676</v>
      </c>
      <c r="R96" s="23">
        <f t="shared" ref="R96" si="97">Q96-Q95</f>
        <v>4.8611111111110938E-3</v>
      </c>
      <c r="S96" s="23">
        <f>VLOOKUP(VeredaTr12916[[#This Row],[HORA_INI]],Ruta2[[HORA]:[iD]],5,TRUE)</f>
        <v>4.8611111111111103E-3</v>
      </c>
      <c r="T96" s="23">
        <f t="shared" si="75"/>
        <v>2.4305555555555556E-2</v>
      </c>
      <c r="U96" s="23">
        <f t="shared" ref="U96" si="98">+Q96+T96</f>
        <v>0.77847222222222234</v>
      </c>
      <c r="V96" s="23">
        <f t="shared" ref="V96" si="99">+(Q95+S96)-Q96</f>
        <v>0</v>
      </c>
      <c r="W96" s="23"/>
      <c r="X96" s="23">
        <f t="shared" si="96"/>
        <v>0.75416666666666676</v>
      </c>
      <c r="Y96" s="30">
        <f>(U96-Q96+VeredaTr12916[[#This Row],[Tt_tex]])</f>
        <v>2.430555555555558E-2</v>
      </c>
    </row>
    <row r="97" spans="1:25" x14ac:dyDescent="0.35">
      <c r="B97" t="s">
        <v>108</v>
      </c>
      <c r="C97" s="28">
        <v>1</v>
      </c>
      <c r="D97" s="23">
        <v>0.74930555555555589</v>
      </c>
      <c r="E97" s="23">
        <f t="shared" si="85"/>
        <v>4.8611111111114269E-3</v>
      </c>
      <c r="F97" s="23">
        <f>VLOOKUP(TrCeib11815[[#This Row],[HORA_INI]],Ruta1[[HORA]:[iD]],5,TRUE)</f>
        <v>4.8611111111111112E-3</v>
      </c>
      <c r="G97" s="23">
        <f t="shared" si="86"/>
        <v>2.4305555555555556E-2</v>
      </c>
      <c r="H97" s="23">
        <f t="shared" si="87"/>
        <v>0.77361111111111147</v>
      </c>
      <c r="I97" s="23">
        <f t="shared" si="88"/>
        <v>0</v>
      </c>
      <c r="J97" s="23"/>
      <c r="K97" s="23">
        <f t="shared" ref="K97:K103" si="100">+D97+I97</f>
        <v>0.74930555555555589</v>
      </c>
      <c r="L97" s="30">
        <f>(TrCeib11815[[#This Row],[HORA_FIN]]-TrCeib11815[[#This Row],[HORA_INI]])+TrCeib11815[[#This Row],[Tt_tex]]</f>
        <v>2.430555555555558E-2</v>
      </c>
      <c r="M97" s="31"/>
      <c r="O97" t="s">
        <v>109</v>
      </c>
      <c r="P97" s="28">
        <v>8</v>
      </c>
      <c r="Q97" s="23">
        <v>0.75902777777777786</v>
      </c>
      <c r="R97" s="23">
        <f t="shared" ref="R97:R100" si="101">Q97-Q96</f>
        <v>4.8611111111110938E-3</v>
      </c>
      <c r="S97" s="23">
        <f>VLOOKUP(VeredaTr12916[[#This Row],[HORA_INI]],Ruta2[[HORA]:[iD]],5,TRUE)</f>
        <v>4.8611111111111103E-3</v>
      </c>
      <c r="T97" s="23">
        <f t="shared" si="75"/>
        <v>2.4305555555555556E-2</v>
      </c>
      <c r="U97" s="23">
        <f t="shared" ref="U97:U100" si="102">+Q97+T97</f>
        <v>0.78333333333333344</v>
      </c>
      <c r="V97" s="23">
        <f t="shared" ref="V97:V100" si="103">+(Q96+S97)-Q97</f>
        <v>0</v>
      </c>
      <c r="W97" s="23"/>
      <c r="X97" s="23">
        <f t="shared" si="96"/>
        <v>0.75902777777777786</v>
      </c>
      <c r="Y97" s="30">
        <f>(U97-Q97+VeredaTr12916[[#This Row],[Tt_tex]])</f>
        <v>2.430555555555558E-2</v>
      </c>
    </row>
    <row r="98" spans="1:25" x14ac:dyDescent="0.35">
      <c r="B98" t="s">
        <v>108</v>
      </c>
      <c r="C98" s="28">
        <v>9</v>
      </c>
      <c r="D98" s="23">
        <v>0.75416666666666676</v>
      </c>
      <c r="E98" s="23">
        <f t="shared" si="85"/>
        <v>4.8611111111108718E-3</v>
      </c>
      <c r="F98" s="23">
        <f>VLOOKUP(TrCeib11815[[#This Row],[HORA_INI]],Ruta1[[HORA]:[iD]],5,TRUE)</f>
        <v>4.8611111111111112E-3</v>
      </c>
      <c r="G98" s="23">
        <f t="shared" si="86"/>
        <v>2.4305555555555556E-2</v>
      </c>
      <c r="H98" s="23">
        <f t="shared" si="87"/>
        <v>0.77847222222222234</v>
      </c>
      <c r="I98" s="23">
        <f t="shared" si="88"/>
        <v>0</v>
      </c>
      <c r="J98" s="23"/>
      <c r="K98" s="23">
        <f t="shared" si="100"/>
        <v>0.75416666666666676</v>
      </c>
      <c r="L98" s="30">
        <f>(TrCeib11815[[#This Row],[HORA_FIN]]-TrCeib11815[[#This Row],[HORA_INI]])+TrCeib11815[[#This Row],[Tt_tex]]</f>
        <v>2.430555555555558E-2</v>
      </c>
      <c r="M98" s="31"/>
      <c r="O98" t="s">
        <v>109</v>
      </c>
      <c r="P98" s="28">
        <v>6</v>
      </c>
      <c r="Q98" s="23">
        <v>0.76388888888888895</v>
      </c>
      <c r="R98" s="23">
        <f t="shared" si="101"/>
        <v>4.8611111111110938E-3</v>
      </c>
      <c r="S98" s="23">
        <f>VLOOKUP(VeredaTr12916[[#This Row],[HORA_INI]],Ruta2[[HORA]:[iD]],5,TRUE)</f>
        <v>4.8611111111111103E-3</v>
      </c>
      <c r="T98" s="23">
        <f t="shared" si="75"/>
        <v>2.4305555555555556E-2</v>
      </c>
      <c r="U98" s="23">
        <f t="shared" si="102"/>
        <v>0.78819444444444453</v>
      </c>
      <c r="V98" s="23">
        <f t="shared" si="103"/>
        <v>0</v>
      </c>
      <c r="W98" s="23"/>
      <c r="X98" s="23">
        <f t="shared" ref="X98:X102" si="104">+Q98+V98</f>
        <v>0.76388888888888895</v>
      </c>
      <c r="Y98" s="30">
        <f>(U98-Q98+VeredaTr12916[[#This Row],[Tt_tex]])</f>
        <v>2.430555555555558E-2</v>
      </c>
    </row>
    <row r="99" spans="1:25" x14ac:dyDescent="0.35">
      <c r="B99" t="s">
        <v>108</v>
      </c>
      <c r="C99" s="28">
        <v>2</v>
      </c>
      <c r="D99" s="23">
        <v>0.75902777777777786</v>
      </c>
      <c r="E99" s="23">
        <f t="shared" si="85"/>
        <v>4.8611111111110938E-3</v>
      </c>
      <c r="F99" s="23">
        <f>VLOOKUP(TrCeib11815[[#This Row],[HORA_INI]],Ruta1[[HORA]:[iD]],5,TRUE)</f>
        <v>4.8611111111111112E-3</v>
      </c>
      <c r="G99" s="23">
        <f t="shared" si="86"/>
        <v>2.4305555555555556E-2</v>
      </c>
      <c r="H99" s="23">
        <f t="shared" si="87"/>
        <v>0.78333333333333344</v>
      </c>
      <c r="I99" s="23">
        <f t="shared" si="88"/>
        <v>0</v>
      </c>
      <c r="J99" s="23"/>
      <c r="K99" s="23">
        <f t="shared" si="100"/>
        <v>0.75902777777777786</v>
      </c>
      <c r="L99" s="30">
        <f>(TrCeib11815[[#This Row],[HORA_FIN]]-TrCeib11815[[#This Row],[HORA_INI]])+TrCeib11815[[#This Row],[Tt_tex]]</f>
        <v>2.430555555555558E-2</v>
      </c>
      <c r="M99"/>
      <c r="N99" s="28"/>
      <c r="O99" t="s">
        <v>109</v>
      </c>
      <c r="P99" s="28">
        <v>7</v>
      </c>
      <c r="Q99" s="23">
        <v>0.76875000000000004</v>
      </c>
      <c r="R99" s="23">
        <f t="shared" si="101"/>
        <v>4.8611111111110938E-3</v>
      </c>
      <c r="S99" s="23">
        <f>VLOOKUP(VeredaTr12916[[#This Row],[HORA_INI]],Ruta2[[HORA]:[iD]],5,TRUE)</f>
        <v>4.8611111111111103E-3</v>
      </c>
      <c r="T99" s="23">
        <f t="shared" si="75"/>
        <v>2.4305555555555556E-2</v>
      </c>
      <c r="U99" s="23">
        <f t="shared" si="102"/>
        <v>0.79305555555555562</v>
      </c>
      <c r="V99" s="23">
        <f t="shared" si="103"/>
        <v>0</v>
      </c>
      <c r="W99" s="23"/>
      <c r="X99" s="23">
        <f t="shared" si="104"/>
        <v>0.76875000000000004</v>
      </c>
      <c r="Y99" s="30">
        <f>(U99-Q99+VeredaTr12916[[#This Row],[Tt_tex]])</f>
        <v>2.430555555555558E-2</v>
      </c>
    </row>
    <row r="100" spans="1:25" x14ac:dyDescent="0.35">
      <c r="B100" t="s">
        <v>108</v>
      </c>
      <c r="C100" s="28">
        <v>3</v>
      </c>
      <c r="D100" s="23">
        <v>0.76388888888888906</v>
      </c>
      <c r="E100" s="23">
        <f t="shared" si="85"/>
        <v>4.8611111111112049E-3</v>
      </c>
      <c r="F100" s="23">
        <f>VLOOKUP(TrCeib11815[[#This Row],[HORA_INI]],Ruta1[[HORA]:[iD]],5,TRUE)</f>
        <v>4.8611111111111112E-3</v>
      </c>
      <c r="G100" s="23">
        <f t="shared" si="86"/>
        <v>2.4305555555555556E-2</v>
      </c>
      <c r="H100" s="23">
        <f t="shared" si="87"/>
        <v>0.78819444444444464</v>
      </c>
      <c r="I100" s="23">
        <f t="shared" si="88"/>
        <v>0</v>
      </c>
      <c r="J100" s="23"/>
      <c r="K100" s="23">
        <f t="shared" si="100"/>
        <v>0.76388888888888906</v>
      </c>
      <c r="L100" s="30">
        <f>(TrCeib11815[[#This Row],[HORA_FIN]]-TrCeib11815[[#This Row],[HORA_INI]])+TrCeib11815[[#This Row],[Tt_tex]]</f>
        <v>2.430555555555558E-2</v>
      </c>
      <c r="M100"/>
      <c r="N100" s="28" t="s">
        <v>70</v>
      </c>
      <c r="O100" t="s">
        <v>109</v>
      </c>
      <c r="P100" s="28">
        <v>1</v>
      </c>
      <c r="Q100" s="23">
        <v>0.77361111111111147</v>
      </c>
      <c r="R100" s="23">
        <f t="shared" si="101"/>
        <v>4.8611111111114269E-3</v>
      </c>
      <c r="S100" s="23">
        <f>VLOOKUP(VeredaTr12916[[#This Row],[HORA_INI]],Ruta2[[HORA]:[iD]],5,TRUE)</f>
        <v>4.8611111111111103E-3</v>
      </c>
      <c r="T100" s="23">
        <f t="shared" si="75"/>
        <v>2.4305555555555556E-2</v>
      </c>
      <c r="U100" s="23">
        <f t="shared" si="102"/>
        <v>0.79791666666666705</v>
      </c>
      <c r="V100" s="23">
        <f t="shared" si="103"/>
        <v>0</v>
      </c>
      <c r="W100" s="23"/>
      <c r="X100" s="23">
        <f t="shared" si="104"/>
        <v>0.77361111111111147</v>
      </c>
      <c r="Y100" s="30">
        <f>(U100-Q100+VeredaTr12916[[#This Row],[Tt_tex]])</f>
        <v>2.430555555555558E-2</v>
      </c>
    </row>
    <row r="101" spans="1:25" x14ac:dyDescent="0.35">
      <c r="A101" t="s">
        <v>70</v>
      </c>
      <c r="B101" t="s">
        <v>108</v>
      </c>
      <c r="C101" s="28">
        <v>5</v>
      </c>
      <c r="D101" s="23">
        <v>0.76875000000000016</v>
      </c>
      <c r="E101" s="23">
        <f t="shared" ref="E101" si="105">D101-D100</f>
        <v>4.8611111111110938E-3</v>
      </c>
      <c r="F101" s="23">
        <f>VLOOKUP(TrCeib11815[[#This Row],[HORA_INI]],Ruta1[[HORA]:[iD]],5,TRUE)</f>
        <v>4.8611111111111112E-3</v>
      </c>
      <c r="G101" s="23">
        <f t="shared" si="86"/>
        <v>2.4305555555555556E-2</v>
      </c>
      <c r="H101" s="23">
        <f t="shared" ref="H101" si="106">D101+G101</f>
        <v>0.79305555555555574</v>
      </c>
      <c r="I101" s="23">
        <f t="shared" ref="I101" si="107">+(D100+F101)-D101</f>
        <v>0</v>
      </c>
      <c r="J101" s="23"/>
      <c r="K101" s="23">
        <f t="shared" si="100"/>
        <v>0.76875000000000016</v>
      </c>
      <c r="L101" s="30">
        <f>(TrCeib11815[[#This Row],[HORA_FIN]]-TrCeib11815[[#This Row],[HORA_INI]])+TrCeib11815[[#This Row],[Tt_tex]]</f>
        <v>2.430555555555558E-2</v>
      </c>
      <c r="M101"/>
      <c r="N101" s="28"/>
      <c r="O101" t="s">
        <v>109</v>
      </c>
      <c r="P101" s="28">
        <v>9</v>
      </c>
      <c r="Q101" s="23">
        <v>0.77847222222222234</v>
      </c>
      <c r="R101" s="23">
        <f t="shared" ref="R101" si="108">Q101-Q100</f>
        <v>4.8611111111108718E-3</v>
      </c>
      <c r="S101" s="23">
        <f>VLOOKUP(VeredaTr12916[[#This Row],[HORA_INI]],Ruta2[[HORA]:[iD]],5,TRUE)</f>
        <v>4.8611111111111103E-3</v>
      </c>
      <c r="T101" s="23">
        <f t="shared" si="75"/>
        <v>2.4305555555555556E-2</v>
      </c>
      <c r="U101" s="23">
        <f t="shared" ref="U101" si="109">+Q101+T101</f>
        <v>0.80277777777777792</v>
      </c>
      <c r="V101" s="23">
        <f t="shared" ref="V101" si="110">+(Q100+S101)-Q101</f>
        <v>0</v>
      </c>
      <c r="W101" s="23"/>
      <c r="X101" s="23">
        <f t="shared" si="104"/>
        <v>0.77847222222222234</v>
      </c>
      <c r="Y101" s="30">
        <f>(U101-Q101+VeredaTr12916[[#This Row],[Tt_tex]])</f>
        <v>2.430555555555558E-2</v>
      </c>
    </row>
    <row r="102" spans="1:25" x14ac:dyDescent="0.35">
      <c r="B102" t="s">
        <v>108</v>
      </c>
      <c r="C102" s="28">
        <v>4</v>
      </c>
      <c r="D102" s="23">
        <v>0.77361111111111125</v>
      </c>
      <c r="E102" s="23">
        <f t="shared" ref="E102:E104" si="111">D102-D101</f>
        <v>4.8611111111110938E-3</v>
      </c>
      <c r="F102" s="23">
        <f>VLOOKUP(TrCeib11815[[#This Row],[HORA_INI]],Ruta1[[HORA]:[iD]],5,TRUE)</f>
        <v>4.8611111111111112E-3</v>
      </c>
      <c r="G102" s="23">
        <f t="shared" si="86"/>
        <v>2.4305555555555556E-2</v>
      </c>
      <c r="H102" s="23">
        <f t="shared" ref="H102:H104" si="112">D102+G102</f>
        <v>0.79791666666666683</v>
      </c>
      <c r="I102" s="23">
        <f t="shared" ref="I102:I104" si="113">+(D101+F102)-D102</f>
        <v>0</v>
      </c>
      <c r="J102" s="23"/>
      <c r="K102" s="23">
        <f t="shared" si="100"/>
        <v>0.77361111111111125</v>
      </c>
      <c r="L102" s="30">
        <f>(TrCeib11815[[#This Row],[HORA_FIN]]-TrCeib11815[[#This Row],[HORA_INI]])+TrCeib11815[[#This Row],[Tt_tex]]</f>
        <v>2.430555555555558E-2</v>
      </c>
      <c r="M102"/>
      <c r="N102" s="28" t="s">
        <v>70</v>
      </c>
      <c r="O102" t="s">
        <v>109</v>
      </c>
      <c r="P102" s="28">
        <v>2</v>
      </c>
      <c r="Q102" s="23">
        <v>0.78333333333333344</v>
      </c>
      <c r="R102" s="23">
        <f t="shared" si="92"/>
        <v>4.8611111111110938E-3</v>
      </c>
      <c r="S102" s="23">
        <f>VLOOKUP(VeredaTr12916[[#This Row],[HORA_INI]],Ruta2[[HORA]:[iD]],5,TRUE)</f>
        <v>4.8611111111111103E-3</v>
      </c>
      <c r="T102" s="23">
        <f t="shared" si="75"/>
        <v>2.4305555555555556E-2</v>
      </c>
      <c r="U102" s="23">
        <f t="shared" si="53"/>
        <v>0.80763888888888902</v>
      </c>
      <c r="V102" s="23">
        <f t="shared" si="54"/>
        <v>0</v>
      </c>
      <c r="W102" s="23"/>
      <c r="X102" s="23">
        <f t="shared" si="104"/>
        <v>0.78333333333333344</v>
      </c>
      <c r="Y102" s="30">
        <f>(U102-Q102+VeredaTr12916[[#This Row],[Tt_tex]])</f>
        <v>2.430555555555558E-2</v>
      </c>
    </row>
    <row r="103" spans="1:25" x14ac:dyDescent="0.35">
      <c r="A103" t="s">
        <v>70</v>
      </c>
      <c r="B103" t="s">
        <v>108</v>
      </c>
      <c r="C103" s="28">
        <v>10</v>
      </c>
      <c r="D103" s="23">
        <v>0.77847222222222234</v>
      </c>
      <c r="E103" s="23">
        <f t="shared" si="111"/>
        <v>4.8611111111110938E-3</v>
      </c>
      <c r="F103" s="23">
        <f>VLOOKUP(TrCeib11815[[#This Row],[HORA_INI]],Ruta1[[HORA]:[iD]],5,TRUE)</f>
        <v>4.8611111111111112E-3</v>
      </c>
      <c r="G103" s="23">
        <f t="shared" si="86"/>
        <v>2.4305555555555556E-2</v>
      </c>
      <c r="H103" s="23">
        <f t="shared" si="112"/>
        <v>0.80277777777777792</v>
      </c>
      <c r="I103" s="23">
        <f t="shared" si="113"/>
        <v>0</v>
      </c>
      <c r="J103" s="23"/>
      <c r="K103" s="23">
        <f t="shared" si="100"/>
        <v>0.77847222222222234</v>
      </c>
      <c r="L103" s="30">
        <f>(TrCeib11815[[#This Row],[HORA_FIN]]-TrCeib11815[[#This Row],[HORA_INI]])+TrCeib11815[[#This Row],[Tt_tex]]</f>
        <v>2.430555555555558E-2</v>
      </c>
      <c r="M103"/>
      <c r="N103" s="23"/>
      <c r="O103" t="s">
        <v>109</v>
      </c>
      <c r="P103" s="28">
        <v>3</v>
      </c>
      <c r="Q103" s="23">
        <v>0.78819444444444464</v>
      </c>
      <c r="R103" s="23">
        <f t="shared" ref="R103" si="114">Q103-Q102</f>
        <v>4.8611111111112049E-3</v>
      </c>
      <c r="S103" s="23">
        <f>VLOOKUP(VeredaTr12916[[#This Row],[HORA_INI]],Ruta2[[HORA]:[iD]],5,TRUE)</f>
        <v>4.8611111111111103E-3</v>
      </c>
      <c r="T103" s="23">
        <f t="shared" si="75"/>
        <v>2.4305555555555556E-2</v>
      </c>
      <c r="U103" s="23">
        <f t="shared" ref="U103" si="115">+Q103+T103</f>
        <v>0.81250000000000022</v>
      </c>
      <c r="V103" s="23">
        <f t="shared" ref="V103" si="116">+(Q102+S103)-Q103</f>
        <v>0</v>
      </c>
      <c r="W103" s="73"/>
      <c r="X103" s="73">
        <f t="shared" ref="X103:X106" si="117">+Q103+V103</f>
        <v>0.78819444444444464</v>
      </c>
      <c r="Y103" s="30">
        <f>(U103-Q103+VeredaTr12916[[#This Row],[Tt_tex]])</f>
        <v>2.430555555555558E-2</v>
      </c>
    </row>
    <row r="104" spans="1:25" x14ac:dyDescent="0.35">
      <c r="B104" t="s">
        <v>108</v>
      </c>
      <c r="C104" s="28">
        <v>8</v>
      </c>
      <c r="D104" s="23">
        <v>0.78333333333333344</v>
      </c>
      <c r="E104" s="23">
        <f t="shared" si="111"/>
        <v>4.8611111111110938E-3</v>
      </c>
      <c r="F104" s="23">
        <f>VLOOKUP(TrCeib11815[[#This Row],[HORA_INI]],Ruta1[[HORA]:[iD]],5,TRUE)</f>
        <v>4.8611111111111112E-3</v>
      </c>
      <c r="G104" s="23">
        <f t="shared" si="86"/>
        <v>2.4305555555555556E-2</v>
      </c>
      <c r="H104" s="23">
        <f t="shared" si="112"/>
        <v>0.80763888888888902</v>
      </c>
      <c r="I104" s="23">
        <f t="shared" si="113"/>
        <v>0</v>
      </c>
      <c r="J104" s="23"/>
      <c r="K104" s="23">
        <f t="shared" ref="K104:K106" si="118">+D104+I104</f>
        <v>0.78333333333333344</v>
      </c>
      <c r="L104" s="30">
        <f>(TrCeib11815[[#This Row],[HORA_FIN]]-TrCeib11815[[#This Row],[HORA_INI]])+TrCeib11815[[#This Row],[Tt_tex]]</f>
        <v>2.430555555555558E-2</v>
      </c>
      <c r="M104"/>
      <c r="N104" s="23"/>
      <c r="O104" t="s">
        <v>109</v>
      </c>
      <c r="P104" s="28">
        <v>4</v>
      </c>
      <c r="Q104" s="23">
        <v>0.79791666666666683</v>
      </c>
      <c r="R104" s="23">
        <f t="shared" ref="R104" si="119">Q104-Q103</f>
        <v>9.7222222222221877E-3</v>
      </c>
      <c r="S104" s="23">
        <f>VLOOKUP(VeredaTr12916[[#This Row],[HORA_INI]],Ruta2[[HORA]:[iD]],5,TRUE)</f>
        <v>9.7222222222222224E-3</v>
      </c>
      <c r="T104" s="23">
        <f t="shared" si="75"/>
        <v>2.4305555555555556E-2</v>
      </c>
      <c r="U104" s="23">
        <f t="shared" ref="U104" si="120">+Q104+T104</f>
        <v>0.82222222222222241</v>
      </c>
      <c r="V104" s="23">
        <f t="shared" ref="V104" si="121">+(Q103+S104)-Q104</f>
        <v>0</v>
      </c>
      <c r="W104" s="73"/>
      <c r="X104" s="73">
        <f t="shared" si="117"/>
        <v>0.79791666666666683</v>
      </c>
      <c r="Y104" s="30">
        <f>(U104-Q104+VeredaTr12916[[#This Row],[Tt_tex]])</f>
        <v>2.430555555555558E-2</v>
      </c>
    </row>
    <row r="105" spans="1:25" x14ac:dyDescent="0.35">
      <c r="A105" t="s">
        <v>70</v>
      </c>
      <c r="B105" t="s">
        <v>108</v>
      </c>
      <c r="C105" s="28">
        <v>6</v>
      </c>
      <c r="D105" s="23">
        <v>0.78819444444444453</v>
      </c>
      <c r="E105" s="23">
        <f t="shared" ref="E105:E106" si="122">D105-D104</f>
        <v>4.8611111111110938E-3</v>
      </c>
      <c r="F105" s="23">
        <f>VLOOKUP(TrCeib11815[[#This Row],[HORA_INI]],Ruta1[[HORA]:[iD]],5,TRUE)</f>
        <v>4.8611111111111112E-3</v>
      </c>
      <c r="G105" s="23">
        <f t="shared" si="86"/>
        <v>2.4305555555555556E-2</v>
      </c>
      <c r="H105" s="23">
        <f t="shared" ref="H105:H106" si="123">D105+G105</f>
        <v>0.81250000000000011</v>
      </c>
      <c r="I105" s="23">
        <f t="shared" ref="I105:I106" si="124">+(D104+F105)-D105</f>
        <v>0</v>
      </c>
      <c r="J105" s="23"/>
      <c r="K105" s="23">
        <f t="shared" si="118"/>
        <v>0.78819444444444453</v>
      </c>
      <c r="L105" s="30">
        <f>(TrCeib11815[[#This Row],[HORA_FIN]]-TrCeib11815[[#This Row],[HORA_INI]])+TrCeib11815[[#This Row],[Tt_tex]]</f>
        <v>2.430555555555558E-2</v>
      </c>
      <c r="M105"/>
      <c r="N105" s="23"/>
      <c r="O105" t="s">
        <v>109</v>
      </c>
      <c r="P105" s="28">
        <v>8</v>
      </c>
      <c r="Q105" s="23">
        <v>0.80763888888888902</v>
      </c>
      <c r="R105" s="23">
        <f t="shared" ref="R105" si="125">Q105-Q104</f>
        <v>9.7222222222221877E-3</v>
      </c>
      <c r="S105" s="23">
        <f>VLOOKUP(VeredaTr12916[[#This Row],[HORA_INI]],Ruta2[[HORA]:[iD]],5,TRUE)</f>
        <v>9.7222222222222224E-3</v>
      </c>
      <c r="T105" s="23">
        <f t="shared" si="75"/>
        <v>2.4305555555555556E-2</v>
      </c>
      <c r="U105" s="23">
        <f t="shared" ref="U105" si="126">+Q105+T105</f>
        <v>0.8319444444444446</v>
      </c>
      <c r="V105" s="23">
        <f t="shared" ref="V105" si="127">+(Q104+S105)-Q105</f>
        <v>0</v>
      </c>
      <c r="W105" s="73"/>
      <c r="X105" s="73">
        <f t="shared" si="117"/>
        <v>0.80763888888888902</v>
      </c>
      <c r="Y105" s="30">
        <f>(U105-Q105+VeredaTr12916[[#This Row],[Tt_tex]])</f>
        <v>2.430555555555558E-2</v>
      </c>
    </row>
    <row r="106" spans="1:25" x14ac:dyDescent="0.35">
      <c r="B106" t="s">
        <v>108</v>
      </c>
      <c r="C106" s="28">
        <v>7</v>
      </c>
      <c r="D106" s="23">
        <v>0.79305555555555562</v>
      </c>
      <c r="E106" s="23">
        <f t="shared" si="122"/>
        <v>4.8611111111110938E-3</v>
      </c>
      <c r="F106" s="23">
        <f>VLOOKUP(TrCeib11815[[#This Row],[HORA_INI]],Ruta1[[HORA]:[iD]],5,TRUE)</f>
        <v>9.7222222222222224E-3</v>
      </c>
      <c r="G106" s="23">
        <f t="shared" si="86"/>
        <v>2.4305555555555556E-2</v>
      </c>
      <c r="H106" s="23">
        <f t="shared" si="123"/>
        <v>0.8173611111111112</v>
      </c>
      <c r="I106" s="23">
        <f t="shared" si="124"/>
        <v>4.8611111111110938E-3</v>
      </c>
      <c r="J106" s="23"/>
      <c r="K106" s="23">
        <f t="shared" si="118"/>
        <v>0.79791666666666672</v>
      </c>
      <c r="L106" s="30">
        <f>(TrCeib11815[[#This Row],[HORA_FIN]]-TrCeib11815[[#This Row],[HORA_INI]])+TrCeib11815[[#This Row],[Tt_tex]]</f>
        <v>2.430555555555558E-2</v>
      </c>
      <c r="M106"/>
      <c r="N106" s="23"/>
      <c r="O106" t="s">
        <v>109</v>
      </c>
      <c r="P106" s="28">
        <v>7</v>
      </c>
      <c r="Q106" s="23">
        <v>0.8173611111111112</v>
      </c>
      <c r="R106" s="23">
        <f t="shared" ref="R106" si="128">Q106-Q105</f>
        <v>9.7222222222221877E-3</v>
      </c>
      <c r="S106" s="23">
        <f>VLOOKUP(VeredaTr12916[[#This Row],[HORA_INI]],Ruta2[[HORA]:[iD]],5,TRUE)</f>
        <v>9.7222222222222224E-3</v>
      </c>
      <c r="T106" s="23">
        <f t="shared" si="75"/>
        <v>2.4305555555555556E-2</v>
      </c>
      <c r="U106" s="23">
        <f t="shared" ref="U106" si="129">+Q106+T106</f>
        <v>0.84166666666666679</v>
      </c>
      <c r="V106" s="23">
        <f t="shared" ref="V106" si="130">+(Q105+S106)-Q106</f>
        <v>0</v>
      </c>
      <c r="W106" s="73"/>
      <c r="X106" s="73">
        <f t="shared" si="117"/>
        <v>0.8173611111111112</v>
      </c>
      <c r="Y106" s="30">
        <f>(U106-Q106+VeredaTr12916[[#This Row],[Tt_tex]])</f>
        <v>2.430555555555558E-2</v>
      </c>
    </row>
    <row r="107" spans="1:25" x14ac:dyDescent="0.35">
      <c r="B107" t="s">
        <v>108</v>
      </c>
      <c r="C107" s="28">
        <v>9</v>
      </c>
      <c r="D107" s="23">
        <v>0.80277777777777792</v>
      </c>
      <c r="E107" s="23">
        <f t="shared" ref="E107" si="131">D107-D106</f>
        <v>9.7222222222222987E-3</v>
      </c>
      <c r="F107" s="23">
        <f>VLOOKUP(TrCeib11815[[#This Row],[HORA_INI]],Ruta1[[HORA]:[iD]],5,TRUE)</f>
        <v>9.7222222222222224E-3</v>
      </c>
      <c r="G107" s="23">
        <f t="shared" si="86"/>
        <v>2.4305555555555556E-2</v>
      </c>
      <c r="H107" s="23">
        <f t="shared" ref="H107" si="132">D107+G107</f>
        <v>0.8270833333333335</v>
      </c>
      <c r="I107" s="23">
        <f t="shared" ref="I107" si="133">+(D106+F107)-D107</f>
        <v>0</v>
      </c>
      <c r="J107" s="73"/>
      <c r="K107" s="73">
        <f t="shared" ref="K107:K111" si="134">+D107+I107</f>
        <v>0.80277777777777792</v>
      </c>
      <c r="L107" s="30">
        <f>(TrCeib11815[[#This Row],[HORA_FIN]]-TrCeib11815[[#This Row],[HORA_INI]])+TrCeib11815[[#This Row],[Tt_tex]]</f>
        <v>2.430555555555558E-2</v>
      </c>
      <c r="M107"/>
      <c r="N107" s="23" t="s">
        <v>70</v>
      </c>
      <c r="O107" t="s">
        <v>109</v>
      </c>
      <c r="P107" s="28">
        <v>9</v>
      </c>
      <c r="Q107" s="23">
        <v>0.8270833333333335</v>
      </c>
      <c r="R107" s="23">
        <f t="shared" ref="R107:R108" si="135">Q107-Q106</f>
        <v>9.7222222222222987E-3</v>
      </c>
      <c r="S107" s="23">
        <f>VLOOKUP(VeredaTr12916[[#This Row],[HORA_INI]],Ruta2[[HORA]:[iD]],5,TRUE)</f>
        <v>9.7222222222222224E-3</v>
      </c>
      <c r="T107" s="23">
        <f t="shared" si="75"/>
        <v>2.4305555555555556E-2</v>
      </c>
      <c r="U107" s="23">
        <f t="shared" ref="U107:U108" si="136">+Q107+T107</f>
        <v>0.85138888888888908</v>
      </c>
      <c r="V107" s="23">
        <f t="shared" ref="V107:V108" si="137">+(Q106+S107)-Q107</f>
        <v>0</v>
      </c>
      <c r="W107" s="73"/>
      <c r="X107" s="73">
        <f t="shared" ref="X107:X108" si="138">+Q107+V107</f>
        <v>0.8270833333333335</v>
      </c>
      <c r="Y107" s="30">
        <f>(U107-Q107+VeredaTr12916[[#This Row],[Tt_tex]])</f>
        <v>2.430555555555558E-2</v>
      </c>
    </row>
    <row r="108" spans="1:25" x14ac:dyDescent="0.35">
      <c r="B108" t="s">
        <v>108</v>
      </c>
      <c r="C108" s="28">
        <v>3</v>
      </c>
      <c r="D108" s="23">
        <v>0.81250000000000022</v>
      </c>
      <c r="E108" s="23">
        <f t="shared" ref="E108:E111" si="139">D108-D107</f>
        <v>9.7222222222222987E-3</v>
      </c>
      <c r="F108" s="23">
        <f>VLOOKUP(TrCeib11815[[#This Row],[HORA_INI]],Ruta1[[HORA]:[iD]],5,TRUE)</f>
        <v>9.7222222222222224E-3</v>
      </c>
      <c r="G108" s="23">
        <f t="shared" si="86"/>
        <v>2.4305555555555556E-2</v>
      </c>
      <c r="H108" s="23">
        <f t="shared" ref="H108:H111" si="140">D108+G108</f>
        <v>0.8368055555555558</v>
      </c>
      <c r="I108" s="23">
        <f t="shared" ref="I108:I111" si="141">+(D107+F108)-D108</f>
        <v>0</v>
      </c>
      <c r="J108" s="73"/>
      <c r="K108" s="73">
        <f t="shared" si="134"/>
        <v>0.81250000000000022</v>
      </c>
      <c r="L108" s="30">
        <f>(TrCeib11815[[#This Row],[HORA_FIN]]-TrCeib11815[[#This Row],[HORA_INI]])+TrCeib11815[[#This Row],[Tt_tex]]</f>
        <v>2.430555555555558E-2</v>
      </c>
      <c r="M108"/>
      <c r="N108" s="23" t="s">
        <v>70</v>
      </c>
      <c r="O108" t="s">
        <v>109</v>
      </c>
      <c r="P108" s="28">
        <v>3</v>
      </c>
      <c r="Q108" s="23">
        <v>0.8368055555555558</v>
      </c>
      <c r="R108" s="23">
        <f t="shared" si="135"/>
        <v>9.7222222222222987E-3</v>
      </c>
      <c r="S108" s="23">
        <f>VLOOKUP(VeredaTr12916[[#This Row],[HORA_INI]],Ruta2[[HORA]:[iD]],5,TRUE)</f>
        <v>9.7222222222222224E-3</v>
      </c>
      <c r="T108" s="23">
        <f t="shared" si="75"/>
        <v>2.4305555555555556E-2</v>
      </c>
      <c r="U108" s="23">
        <f t="shared" si="136"/>
        <v>0.86111111111111138</v>
      </c>
      <c r="V108" s="23">
        <f t="shared" si="137"/>
        <v>0</v>
      </c>
      <c r="W108" s="73"/>
      <c r="X108" s="73">
        <f t="shared" si="138"/>
        <v>0.8368055555555558</v>
      </c>
      <c r="Y108" s="30">
        <f>(U108-Q108+VeredaTr12916[[#This Row],[Tt_tex]])</f>
        <v>2.430555555555558E-2</v>
      </c>
    </row>
    <row r="109" spans="1:25" x14ac:dyDescent="0.35">
      <c r="A109" t="s">
        <v>70</v>
      </c>
      <c r="B109" t="s">
        <v>108</v>
      </c>
      <c r="C109" s="28">
        <v>4</v>
      </c>
      <c r="D109" s="23">
        <v>0.82222222222222241</v>
      </c>
      <c r="E109" s="23">
        <f t="shared" si="139"/>
        <v>9.7222222222221877E-3</v>
      </c>
      <c r="F109" s="23">
        <f>VLOOKUP(TrCeib11815[[#This Row],[HORA_INI]],Ruta1[[HORA]:[iD]],5,TRUE)</f>
        <v>9.7222222222222224E-3</v>
      </c>
      <c r="G109" s="23">
        <f t="shared" si="86"/>
        <v>2.4305555555555556E-2</v>
      </c>
      <c r="H109" s="23">
        <f t="shared" si="140"/>
        <v>0.84652777777777799</v>
      </c>
      <c r="I109" s="23">
        <f t="shared" si="141"/>
        <v>0</v>
      </c>
      <c r="J109" s="73"/>
      <c r="K109" s="73">
        <f t="shared" si="134"/>
        <v>0.82222222222222241</v>
      </c>
      <c r="L109" s="30">
        <f>(TrCeib11815[[#This Row],[HORA_FIN]]-TrCeib11815[[#This Row],[HORA_INI]])+TrCeib11815[[#This Row],[Tt_tex]]</f>
        <v>2.430555555555558E-2</v>
      </c>
      <c r="M109"/>
      <c r="N109" s="23"/>
      <c r="O109" s="23"/>
      <c r="P109" s="23"/>
      <c r="Q109" s="23"/>
      <c r="R109" s="23"/>
      <c r="S109" s="23"/>
      <c r="T109" s="23"/>
      <c r="U109" s="23"/>
      <c r="V109" s="30"/>
      <c r="W109" s="30"/>
      <c r="X109" s="23"/>
    </row>
    <row r="110" spans="1:25" x14ac:dyDescent="0.35">
      <c r="A110" t="s">
        <v>70</v>
      </c>
      <c r="B110" t="s">
        <v>108</v>
      </c>
      <c r="C110" s="28">
        <v>8</v>
      </c>
      <c r="D110" s="23">
        <v>0.8319444444444446</v>
      </c>
      <c r="E110" s="23">
        <f t="shared" si="139"/>
        <v>9.7222222222221877E-3</v>
      </c>
      <c r="F110" s="23">
        <f>VLOOKUP(TrCeib11815[[#This Row],[HORA_INI]],Ruta1[[HORA]:[iD]],5,TRUE)</f>
        <v>9.7222222222222224E-3</v>
      </c>
      <c r="G110" s="23">
        <f t="shared" si="86"/>
        <v>2.4305555555555556E-2</v>
      </c>
      <c r="H110" s="23">
        <f t="shared" si="140"/>
        <v>0.85625000000000018</v>
      </c>
      <c r="I110" s="23">
        <f t="shared" si="141"/>
        <v>0</v>
      </c>
      <c r="J110" s="73"/>
      <c r="K110" s="73">
        <f t="shared" si="134"/>
        <v>0.8319444444444446</v>
      </c>
      <c r="L110" s="30">
        <f>(TrCeib11815[[#This Row],[HORA_FIN]]-TrCeib11815[[#This Row],[HORA_INI]])+TrCeib11815[[#This Row],[Tt_tex]]</f>
        <v>2.430555555555558E-2</v>
      </c>
      <c r="M110"/>
      <c r="N110" s="23"/>
      <c r="O110" s="23"/>
      <c r="P110" s="23"/>
      <c r="Q110" s="23"/>
      <c r="R110" s="23"/>
      <c r="S110" s="23"/>
      <c r="T110" s="23"/>
      <c r="U110" s="23"/>
      <c r="V110" s="30"/>
      <c r="W110" s="30"/>
      <c r="X110" s="23"/>
    </row>
    <row r="111" spans="1:25" x14ac:dyDescent="0.35">
      <c r="A111" t="s">
        <v>70</v>
      </c>
      <c r="B111" t="s">
        <v>108</v>
      </c>
      <c r="C111" s="28">
        <v>7</v>
      </c>
      <c r="D111" s="23">
        <v>0.84166666666666679</v>
      </c>
      <c r="E111" s="23">
        <f t="shared" si="139"/>
        <v>9.7222222222221877E-3</v>
      </c>
      <c r="F111" s="23">
        <f>VLOOKUP(TrCeib11815[[#This Row],[HORA_INI]],Ruta1[[HORA]:[iD]],5,TRUE)</f>
        <v>9.7222222222222224E-3</v>
      </c>
      <c r="G111" s="23">
        <f t="shared" si="86"/>
        <v>2.4305555555555556E-2</v>
      </c>
      <c r="H111" s="23">
        <f t="shared" si="140"/>
        <v>0.86597222222222237</v>
      </c>
      <c r="I111" s="23">
        <f t="shared" si="141"/>
        <v>0</v>
      </c>
      <c r="J111" s="73"/>
      <c r="K111" s="73">
        <f t="shared" si="134"/>
        <v>0.84166666666666679</v>
      </c>
      <c r="L111" s="30">
        <f>(TrCeib11815[[#This Row],[HORA_FIN]]-TrCeib11815[[#This Row],[HORA_INI]])+TrCeib11815[[#This Row],[Tt_tex]]</f>
        <v>2.430555555555558E-2</v>
      </c>
      <c r="N111" s="23"/>
      <c r="O111" s="23"/>
      <c r="P111" s="23"/>
      <c r="Q111" s="23"/>
      <c r="R111" s="23"/>
      <c r="S111" s="23"/>
      <c r="T111" s="23"/>
      <c r="U111" s="23"/>
      <c r="V111" s="30"/>
      <c r="W111" s="30"/>
      <c r="X111" s="23"/>
    </row>
    <row r="112" spans="1:25" x14ac:dyDescent="0.35">
      <c r="C112" s="23"/>
      <c r="D112" s="23"/>
      <c r="E112" s="23"/>
      <c r="F112" s="23"/>
      <c r="G112" s="23"/>
      <c r="I112" s="23"/>
      <c r="J112" s="23"/>
      <c r="K112" s="30"/>
      <c r="N112" s="23"/>
      <c r="O112" s="23"/>
      <c r="P112" s="23"/>
      <c r="Q112" s="23"/>
      <c r="R112" s="23"/>
      <c r="S112" s="23"/>
      <c r="T112" s="23"/>
      <c r="U112" s="23"/>
      <c r="V112" s="30"/>
      <c r="W112" s="30"/>
      <c r="X112" s="23"/>
    </row>
    <row r="113" spans="3:11" x14ac:dyDescent="0.35">
      <c r="C113" s="23"/>
      <c r="D113" s="23"/>
      <c r="E113" s="23"/>
      <c r="F113" s="23"/>
      <c r="G113" s="23"/>
      <c r="I113" s="23"/>
      <c r="J113" s="23"/>
      <c r="K113" s="30"/>
    </row>
    <row r="114" spans="3:11" x14ac:dyDescent="0.35">
      <c r="C114" s="23"/>
      <c r="D114" s="23"/>
      <c r="E114" s="23"/>
      <c r="F114" s="23"/>
      <c r="G114" s="23"/>
      <c r="I114" s="23"/>
      <c r="J114" s="23"/>
      <c r="K114" s="30"/>
    </row>
    <row r="115" spans="3:11" x14ac:dyDescent="0.35">
      <c r="C115" s="23"/>
      <c r="D115" s="23"/>
      <c r="E115" s="23"/>
      <c r="F115" s="23"/>
      <c r="G115" s="23"/>
      <c r="I115" s="23"/>
      <c r="J115" s="23"/>
      <c r="K115" s="30"/>
    </row>
    <row r="116" spans="3:11" x14ac:dyDescent="0.35">
      <c r="C116" s="23"/>
      <c r="D116" s="23"/>
      <c r="E116" s="23"/>
      <c r="F116" s="23"/>
      <c r="G116" s="23"/>
      <c r="I116" s="23"/>
      <c r="J116" s="23"/>
      <c r="K116" s="30"/>
    </row>
    <row r="117" spans="3:11" x14ac:dyDescent="0.35">
      <c r="C117" s="23"/>
      <c r="D117" s="23"/>
      <c r="E117" s="23"/>
      <c r="F117" s="23"/>
      <c r="G117" s="23"/>
      <c r="I117" s="23"/>
      <c r="J117" s="23"/>
      <c r="K117" s="30"/>
    </row>
    <row r="118" spans="3:11" x14ac:dyDescent="0.35">
      <c r="C118" s="23"/>
      <c r="D118" s="23"/>
      <c r="E118" s="23"/>
      <c r="F118" s="23"/>
      <c r="G118" s="23"/>
      <c r="I118" s="23"/>
      <c r="J118" s="23"/>
      <c r="K118" s="30"/>
    </row>
    <row r="119" spans="3:11" x14ac:dyDescent="0.35">
      <c r="C119" s="23"/>
      <c r="D119" s="23"/>
      <c r="E119" s="23"/>
      <c r="F119" s="23"/>
      <c r="G119" s="23"/>
      <c r="I119" s="23"/>
      <c r="J119" s="23"/>
      <c r="K119" s="30"/>
    </row>
    <row r="120" spans="3:11" x14ac:dyDescent="0.35">
      <c r="C120" s="23"/>
      <c r="D120" s="23"/>
      <c r="E120" s="23"/>
      <c r="F120" s="23"/>
      <c r="G120" s="23"/>
      <c r="I120" s="23"/>
      <c r="J120" s="23"/>
      <c r="K120" s="30"/>
    </row>
    <row r="121" spans="3:11" x14ac:dyDescent="0.35">
      <c r="C121" s="23"/>
      <c r="D121" s="23"/>
      <c r="E121" s="23"/>
      <c r="F121" s="23"/>
      <c r="G121" s="23"/>
      <c r="I121" s="23"/>
      <c r="J121" s="23"/>
      <c r="K121" s="30"/>
    </row>
    <row r="122" spans="3:11" x14ac:dyDescent="0.35">
      <c r="C122" s="23"/>
      <c r="D122" s="23"/>
      <c r="E122" s="23"/>
      <c r="F122" s="23"/>
      <c r="G122" s="23"/>
      <c r="I122" s="23"/>
      <c r="J122" s="23"/>
      <c r="K122" s="30"/>
    </row>
    <row r="123" spans="3:11" x14ac:dyDescent="0.35">
      <c r="C123" s="23"/>
      <c r="D123" s="23"/>
      <c r="E123" s="23"/>
      <c r="F123" s="23"/>
      <c r="G123" s="23"/>
      <c r="I123" s="23"/>
      <c r="J123" s="23"/>
      <c r="K123" s="30"/>
    </row>
    <row r="124" spans="3:11" x14ac:dyDescent="0.35">
      <c r="C124" s="23"/>
      <c r="D124" s="23"/>
      <c r="E124" s="23"/>
      <c r="F124" s="23"/>
      <c r="G124" s="23"/>
      <c r="I124" s="23"/>
      <c r="J124" s="23"/>
      <c r="K124" s="30"/>
    </row>
    <row r="125" spans="3:11" x14ac:dyDescent="0.35">
      <c r="C125" s="23"/>
      <c r="D125" s="23"/>
      <c r="E125" s="23"/>
      <c r="F125" s="23"/>
      <c r="G125" s="23"/>
      <c r="I125" s="23"/>
      <c r="J125" s="23"/>
      <c r="K125" s="30"/>
    </row>
    <row r="126" spans="3:11" x14ac:dyDescent="0.35">
      <c r="C126" s="23"/>
      <c r="D126" s="23"/>
      <c r="E126" s="23"/>
      <c r="F126" s="23"/>
      <c r="G126" s="23"/>
      <c r="I126" s="23"/>
      <c r="J126" s="23"/>
      <c r="K126" s="30"/>
    </row>
    <row r="127" spans="3:11" x14ac:dyDescent="0.35">
      <c r="C127" s="23"/>
      <c r="D127" s="23"/>
      <c r="E127" s="23"/>
      <c r="F127" s="23"/>
      <c r="G127" s="23"/>
      <c r="I127" s="23"/>
      <c r="J127" s="23"/>
      <c r="K127" s="30"/>
    </row>
    <row r="128" spans="3:11" x14ac:dyDescent="0.35">
      <c r="C128" s="23"/>
      <c r="D128" s="23"/>
      <c r="E128" s="23"/>
      <c r="F128" s="23"/>
      <c r="G128" s="23"/>
      <c r="I128" s="23"/>
      <c r="J128" s="23"/>
      <c r="K128" s="30"/>
    </row>
    <row r="129" spans="3:11" x14ac:dyDescent="0.35">
      <c r="C129" s="23"/>
      <c r="D129" s="23"/>
      <c r="E129" s="23"/>
      <c r="F129" s="23"/>
      <c r="G129" s="23"/>
      <c r="I129" s="23"/>
      <c r="J129" s="23"/>
      <c r="K129" s="30"/>
    </row>
    <row r="130" spans="3:11" x14ac:dyDescent="0.35">
      <c r="C130" s="23"/>
      <c r="D130" s="23"/>
      <c r="E130" s="23"/>
      <c r="F130" s="23"/>
      <c r="G130" s="23"/>
      <c r="I130" s="23"/>
      <c r="J130" s="23"/>
      <c r="K130" s="30"/>
    </row>
    <row r="131" spans="3:11" x14ac:dyDescent="0.35">
      <c r="C131" s="23"/>
      <c r="D131" s="23"/>
      <c r="E131" s="23"/>
      <c r="F131" s="23"/>
      <c r="G131" s="23"/>
      <c r="I131" s="23"/>
      <c r="J131" s="23"/>
      <c r="K131" s="30"/>
    </row>
    <row r="132" spans="3:11" x14ac:dyDescent="0.35">
      <c r="C132" s="23"/>
      <c r="D132" s="23"/>
      <c r="E132" s="23"/>
      <c r="F132" s="23"/>
      <c r="G132" s="23"/>
      <c r="I132" s="23"/>
      <c r="J132" s="23"/>
      <c r="K132" s="30"/>
    </row>
    <row r="133" spans="3:11" x14ac:dyDescent="0.35">
      <c r="C133" s="23"/>
      <c r="D133" s="23"/>
      <c r="E133" s="23"/>
      <c r="F133" s="23"/>
      <c r="G133" s="23"/>
      <c r="I133" s="23"/>
      <c r="J133" s="23"/>
      <c r="K133" s="30"/>
    </row>
    <row r="134" spans="3:11" x14ac:dyDescent="0.35">
      <c r="C134" s="23"/>
      <c r="D134" s="23"/>
      <c r="E134" s="23"/>
      <c r="F134" s="23"/>
      <c r="G134" s="23"/>
      <c r="I134" s="23"/>
      <c r="J134" s="23"/>
      <c r="K134" s="30"/>
    </row>
    <row r="135" spans="3:11" x14ac:dyDescent="0.35">
      <c r="C135" s="23"/>
      <c r="D135" s="23"/>
      <c r="E135" s="23"/>
      <c r="F135" s="23"/>
      <c r="G135" s="23"/>
      <c r="I135" s="23"/>
      <c r="J135" s="23"/>
      <c r="K135" s="30"/>
    </row>
    <row r="136" spans="3:11" x14ac:dyDescent="0.35">
      <c r="C136" s="23"/>
      <c r="D136" s="23"/>
      <c r="E136" s="23"/>
      <c r="F136" s="23"/>
      <c r="G136" s="23"/>
      <c r="I136" s="23"/>
      <c r="J136" s="23"/>
      <c r="K136" s="30"/>
    </row>
    <row r="137" spans="3:11" x14ac:dyDescent="0.35">
      <c r="C137" s="23"/>
      <c r="D137" s="23"/>
      <c r="E137" s="23"/>
      <c r="F137" s="23"/>
      <c r="G137" s="23"/>
      <c r="I137" s="23"/>
      <c r="J137" s="23"/>
      <c r="K137" s="30"/>
    </row>
    <row r="138" spans="3:11" x14ac:dyDescent="0.35">
      <c r="C138" s="23"/>
      <c r="D138" s="23"/>
      <c r="E138" s="23"/>
      <c r="F138" s="23"/>
      <c r="G138" s="23"/>
      <c r="I138" s="23"/>
      <c r="J138" s="23"/>
      <c r="K138" s="30"/>
    </row>
    <row r="139" spans="3:11" x14ac:dyDescent="0.35">
      <c r="C139" s="23"/>
      <c r="D139" s="23"/>
      <c r="E139" s="23"/>
      <c r="F139" s="23"/>
      <c r="G139" s="23"/>
      <c r="I139" s="23"/>
      <c r="J139" s="23"/>
      <c r="K139" s="30"/>
    </row>
    <row r="140" spans="3:11" x14ac:dyDescent="0.35">
      <c r="C140" s="23"/>
      <c r="D140" s="23"/>
      <c r="E140" s="23"/>
      <c r="F140" s="23"/>
      <c r="G140" s="23"/>
      <c r="I140" s="23"/>
      <c r="J140" s="23"/>
      <c r="K140" s="30"/>
    </row>
  </sheetData>
  <conditionalFormatting sqref="N3 A1:A1048576 N4:O108 B4:B111">
    <cfRule type="containsText" dxfId="189" priority="3" operator="containsText" text="u">
      <formula>NOT(ISERROR(SEARCH("u",A1)))</formula>
    </cfRule>
    <cfRule type="containsText" dxfId="188" priority="4" operator="containsText" text="i">
      <formula>NOT(ISERROR(SEARCH("i",A1)))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899A-F926-4B77-80D1-78C3A37B545F}">
  <sheetPr codeName="Hoja27"/>
  <dimension ref="A1:N214"/>
  <sheetViews>
    <sheetView showGridLines="0" topLeftCell="B1" zoomScale="120" zoomScaleNormal="120" workbookViewId="0">
      <pane ySplit="1" topLeftCell="A17" activePane="bottomLeft" state="frozen"/>
      <selection pane="bottomLeft" activeCell="N132" sqref="N132"/>
    </sheetView>
  </sheetViews>
  <sheetFormatPr baseColWidth="10" defaultColWidth="11.453125" defaultRowHeight="14.5" x14ac:dyDescent="0.35"/>
  <cols>
    <col min="1" max="1" width="5.6328125" style="31" bestFit="1" customWidth="1"/>
    <col min="2" max="2" width="12.81640625" bestFit="1" customWidth="1"/>
    <col min="3" max="3" width="8.90625" bestFit="1" customWidth="1"/>
    <col min="4" max="4" width="13.81640625" bestFit="1" customWidth="1"/>
    <col min="5" max="7" width="8.08984375" hidden="1" customWidth="1"/>
    <col min="8" max="8" width="14.08984375" hidden="1" customWidth="1"/>
    <col min="9" max="9" width="10.6328125" hidden="1" customWidth="1"/>
    <col min="10" max="10" width="10.6328125" bestFit="1" customWidth="1"/>
    <col min="11" max="11" width="11.1796875" hidden="1" customWidth="1"/>
    <col min="12" max="12" width="7.08984375" bestFit="1" customWidth="1"/>
    <col min="13" max="13" width="15.90625" bestFit="1" customWidth="1"/>
    <col min="14" max="14" width="11.453125" style="29"/>
  </cols>
  <sheetData>
    <row r="1" spans="1:14" x14ac:dyDescent="0.35">
      <c r="A1" t="s">
        <v>71</v>
      </c>
      <c r="B1" s="32" t="s">
        <v>97</v>
      </c>
      <c r="C1" s="32" t="s">
        <v>64</v>
      </c>
      <c r="D1" s="32" t="s">
        <v>27</v>
      </c>
      <c r="E1" s="32" t="s">
        <v>65</v>
      </c>
      <c r="F1" s="32" t="s">
        <v>63</v>
      </c>
      <c r="G1" s="32" t="s">
        <v>69</v>
      </c>
      <c r="H1" s="32" t="s">
        <v>28</v>
      </c>
      <c r="I1" s="32" t="s">
        <v>92</v>
      </c>
      <c r="J1" s="32" t="s">
        <v>67</v>
      </c>
      <c r="K1" s="32" t="s">
        <v>66</v>
      </c>
      <c r="L1" s="32" t="s">
        <v>98</v>
      </c>
      <c r="M1" s="32" t="s">
        <v>110</v>
      </c>
      <c r="N1" s="78" t="s">
        <v>111</v>
      </c>
    </row>
    <row r="2" spans="1:14" hidden="1" x14ac:dyDescent="0.35">
      <c r="A2" t="s">
        <v>63</v>
      </c>
      <c r="B2" t="s">
        <v>108</v>
      </c>
      <c r="C2" s="28">
        <v>1</v>
      </c>
      <c r="D2" s="23">
        <v>0.20833333333333334</v>
      </c>
      <c r="E2" s="23"/>
      <c r="F2" s="23">
        <v>8.3333333333333332E-3</v>
      </c>
      <c r="G2" s="23">
        <v>2.4305555555555556E-2</v>
      </c>
      <c r="H2" s="23">
        <v>0.2326388888888889</v>
      </c>
      <c r="I2" s="23"/>
      <c r="J2" s="23"/>
      <c r="K2" s="23">
        <v>0.20833333333333334</v>
      </c>
      <c r="L2" s="30">
        <v>2.4305555555555552E-2</v>
      </c>
      <c r="M2" s="77" t="s">
        <v>112</v>
      </c>
      <c r="N2" s="79">
        <v>1</v>
      </c>
    </row>
    <row r="3" spans="1:14" hidden="1" x14ac:dyDescent="0.35">
      <c r="A3" t="s">
        <v>63</v>
      </c>
      <c r="B3" t="s">
        <v>108</v>
      </c>
      <c r="C3" s="28">
        <v>2</v>
      </c>
      <c r="D3" s="23">
        <v>0.21666666666666667</v>
      </c>
      <c r="E3" s="23">
        <v>8.3333333333333315E-3</v>
      </c>
      <c r="F3" s="23">
        <v>8.3333333333333332E-3</v>
      </c>
      <c r="G3" s="23">
        <v>2.4305555555555556E-2</v>
      </c>
      <c r="H3" s="23">
        <v>0.24097222222222223</v>
      </c>
      <c r="I3" s="23">
        <v>0</v>
      </c>
      <c r="J3" s="23"/>
      <c r="K3" s="23">
        <v>0.21666666666666667</v>
      </c>
      <c r="L3" s="30">
        <v>2.4305555555555552E-2</v>
      </c>
      <c r="M3" s="74" t="s">
        <v>112</v>
      </c>
      <c r="N3" s="79">
        <v>1</v>
      </c>
    </row>
    <row r="4" spans="1:14" hidden="1" x14ac:dyDescent="0.35">
      <c r="A4" t="s">
        <v>63</v>
      </c>
      <c r="B4" t="s">
        <v>108</v>
      </c>
      <c r="C4" s="28">
        <v>3</v>
      </c>
      <c r="D4" s="23">
        <v>0.22500000000000001</v>
      </c>
      <c r="E4" s="23">
        <v>8.3333333333333315E-3</v>
      </c>
      <c r="F4" s="23">
        <v>8.3333333333333332E-3</v>
      </c>
      <c r="G4" s="23">
        <v>2.4305555555555556E-2</v>
      </c>
      <c r="H4" s="23">
        <v>0.24930555555555556</v>
      </c>
      <c r="I4" s="23">
        <v>0</v>
      </c>
      <c r="J4" s="23"/>
      <c r="K4" s="23">
        <v>0.22500000000000001</v>
      </c>
      <c r="L4" s="30">
        <v>2.4305555555555552E-2</v>
      </c>
      <c r="M4" s="74" t="s">
        <v>112</v>
      </c>
      <c r="N4" s="79">
        <v>1</v>
      </c>
    </row>
    <row r="5" spans="1:14" hidden="1" x14ac:dyDescent="0.35">
      <c r="A5" t="s">
        <v>63</v>
      </c>
      <c r="B5" t="s">
        <v>108</v>
      </c>
      <c r="C5" s="28">
        <v>4</v>
      </c>
      <c r="D5" s="23">
        <v>0.23333333333333331</v>
      </c>
      <c r="E5" s="23">
        <v>8.3333333333333037E-3</v>
      </c>
      <c r="F5" s="23">
        <v>8.3333333333333332E-3</v>
      </c>
      <c r="G5" s="23">
        <v>2.4305555555555556E-2</v>
      </c>
      <c r="H5" s="23">
        <v>0.25763888888888886</v>
      </c>
      <c r="I5" s="23">
        <v>0</v>
      </c>
      <c r="J5" s="23"/>
      <c r="K5" s="23">
        <v>0.23333333333333331</v>
      </c>
      <c r="L5" s="30">
        <v>2.4305555555555552E-2</v>
      </c>
      <c r="M5" s="74" t="s">
        <v>112</v>
      </c>
      <c r="N5" s="79">
        <v>1</v>
      </c>
    </row>
    <row r="6" spans="1:14" hidden="1" x14ac:dyDescent="0.35">
      <c r="A6"/>
      <c r="B6" t="s">
        <v>109</v>
      </c>
      <c r="C6" s="28">
        <v>1</v>
      </c>
      <c r="D6" s="23">
        <v>0.23541666666666666</v>
      </c>
      <c r="E6" s="23"/>
      <c r="F6" s="23">
        <v>4.8611111111111112E-3</v>
      </c>
      <c r="G6" s="23">
        <v>2.4305555555555556E-2</v>
      </c>
      <c r="H6" s="23">
        <v>0.25972222222222224</v>
      </c>
      <c r="I6" s="23"/>
      <c r="J6" s="23">
        <v>2.7777777777777779E-3</v>
      </c>
      <c r="K6" s="23">
        <v>0.23541666666666666</v>
      </c>
      <c r="L6" s="30">
        <v>2.7083333333333359E-2</v>
      </c>
      <c r="M6" s="77" t="s">
        <v>112</v>
      </c>
      <c r="N6" s="79">
        <v>1</v>
      </c>
    </row>
    <row r="7" spans="1:14" hidden="1" x14ac:dyDescent="0.35">
      <c r="A7"/>
      <c r="B7" t="s">
        <v>109</v>
      </c>
      <c r="C7" s="28">
        <v>2</v>
      </c>
      <c r="D7" s="23">
        <v>0.24027777777777778</v>
      </c>
      <c r="E7" s="23">
        <v>4.8611111111111216E-3</v>
      </c>
      <c r="F7" s="23">
        <v>4.8611111111111112E-3</v>
      </c>
      <c r="G7" s="23">
        <v>2.4305555555555556E-2</v>
      </c>
      <c r="H7" s="23">
        <v>0.26458333333333334</v>
      </c>
      <c r="I7" s="23">
        <v>0</v>
      </c>
      <c r="J7" s="23"/>
      <c r="K7" s="23">
        <v>0.24027777777777778</v>
      </c>
      <c r="L7" s="30">
        <v>2.4305555555555552E-2</v>
      </c>
      <c r="M7" s="74" t="s">
        <v>112</v>
      </c>
      <c r="N7" s="79">
        <v>1</v>
      </c>
    </row>
    <row r="8" spans="1:14" hidden="1" x14ac:dyDescent="0.35">
      <c r="A8" t="s">
        <v>63</v>
      </c>
      <c r="B8" t="s">
        <v>108</v>
      </c>
      <c r="C8" s="28">
        <v>5</v>
      </c>
      <c r="D8" s="23">
        <v>0.24166666666666667</v>
      </c>
      <c r="E8" s="23">
        <v>8.3333333333333592E-3</v>
      </c>
      <c r="F8" s="23">
        <v>8.3333333333333332E-3</v>
      </c>
      <c r="G8" s="23">
        <v>2.4305555555555556E-2</v>
      </c>
      <c r="H8" s="23">
        <v>0.26597222222222222</v>
      </c>
      <c r="I8" s="23">
        <v>0</v>
      </c>
      <c r="J8" s="23"/>
      <c r="K8" s="23">
        <v>0.24166666666666667</v>
      </c>
      <c r="L8" s="30">
        <v>2.4305555555555552E-2</v>
      </c>
      <c r="M8" s="74" t="s">
        <v>114</v>
      </c>
      <c r="N8" s="79">
        <v>1</v>
      </c>
    </row>
    <row r="9" spans="1:14" hidden="1" x14ac:dyDescent="0.35">
      <c r="A9" t="s">
        <v>63</v>
      </c>
      <c r="B9" t="s">
        <v>109</v>
      </c>
      <c r="C9" s="28">
        <v>8</v>
      </c>
      <c r="D9" s="23">
        <v>0.24513888888888888</v>
      </c>
      <c r="E9" s="23">
        <v>4.8611111111110938E-3</v>
      </c>
      <c r="F9" s="23">
        <v>4.8611111111111112E-3</v>
      </c>
      <c r="G9" s="23">
        <v>2.4305555555555556E-2</v>
      </c>
      <c r="H9" s="23">
        <v>0.26944444444444443</v>
      </c>
      <c r="I9" s="23">
        <v>0</v>
      </c>
      <c r="J9" s="23"/>
      <c r="K9" s="23">
        <v>0.24513888888888888</v>
      </c>
      <c r="L9" s="30">
        <v>2.4305555555555552E-2</v>
      </c>
      <c r="M9" s="74" t="s">
        <v>114</v>
      </c>
      <c r="N9" s="79">
        <v>1</v>
      </c>
    </row>
    <row r="10" spans="1:14" hidden="1" x14ac:dyDescent="0.35">
      <c r="A10" t="s">
        <v>63</v>
      </c>
      <c r="B10" t="s">
        <v>108</v>
      </c>
      <c r="C10" s="28">
        <v>6</v>
      </c>
      <c r="D10" s="23">
        <v>0.25</v>
      </c>
      <c r="E10" s="23">
        <v>8.3333333333333315E-3</v>
      </c>
      <c r="F10" s="23">
        <v>4.8611111111111112E-3</v>
      </c>
      <c r="G10" s="23">
        <v>2.4305555555555556E-2</v>
      </c>
      <c r="H10" s="23">
        <v>0.27430555555555558</v>
      </c>
      <c r="I10" s="23">
        <v>-3.4722222222222099E-3</v>
      </c>
      <c r="J10" s="23"/>
      <c r="K10" s="23">
        <v>0.24652777777777779</v>
      </c>
      <c r="L10" s="30">
        <v>2.430555555555558E-2</v>
      </c>
      <c r="M10" s="74" t="s">
        <v>112</v>
      </c>
      <c r="N10" s="79">
        <v>1</v>
      </c>
    </row>
    <row r="11" spans="1:14" hidden="1" x14ac:dyDescent="0.35">
      <c r="A11"/>
      <c r="B11" t="s">
        <v>109</v>
      </c>
      <c r="C11" s="28">
        <v>3</v>
      </c>
      <c r="D11" s="23">
        <v>0.25</v>
      </c>
      <c r="E11" s="23">
        <v>4.8611111111111216E-3</v>
      </c>
      <c r="F11" s="23">
        <v>4.8611111111111112E-3</v>
      </c>
      <c r="G11" s="23">
        <v>2.4305555555555556E-2</v>
      </c>
      <c r="H11" s="23">
        <v>0.27430555555555558</v>
      </c>
      <c r="I11" s="23">
        <v>0</v>
      </c>
      <c r="J11" s="23">
        <v>6.9444444444444447E-4</v>
      </c>
      <c r="K11" s="23">
        <v>0.25</v>
      </c>
      <c r="L11" s="30">
        <v>2.5000000000000026E-2</v>
      </c>
      <c r="M11" s="74" t="s">
        <v>112</v>
      </c>
      <c r="N11" s="79">
        <v>1</v>
      </c>
    </row>
    <row r="12" spans="1:14" hidden="1" x14ac:dyDescent="0.35">
      <c r="A12" t="s">
        <v>63</v>
      </c>
      <c r="B12" t="s">
        <v>108</v>
      </c>
      <c r="C12" s="28">
        <v>7</v>
      </c>
      <c r="D12" s="23">
        <v>0.25486111111111109</v>
      </c>
      <c r="E12" s="23">
        <v>4.8611111111110938E-3</v>
      </c>
      <c r="F12" s="23">
        <v>4.8611111111111112E-3</v>
      </c>
      <c r="G12" s="23">
        <v>2.4305555555555556E-2</v>
      </c>
      <c r="H12" s="23">
        <v>0.27916666666666667</v>
      </c>
      <c r="I12" s="23">
        <v>0</v>
      </c>
      <c r="J12" s="23"/>
      <c r="K12" s="23">
        <v>0.25486111111111109</v>
      </c>
      <c r="L12" s="30">
        <v>2.430555555555558E-2</v>
      </c>
      <c r="M12" s="74" t="s">
        <v>112</v>
      </c>
      <c r="N12" s="79">
        <v>1</v>
      </c>
    </row>
    <row r="13" spans="1:14" hidden="1" x14ac:dyDescent="0.35">
      <c r="A13" t="s">
        <v>63</v>
      </c>
      <c r="B13" t="s">
        <v>109</v>
      </c>
      <c r="C13" s="28">
        <v>9</v>
      </c>
      <c r="D13" s="23">
        <v>0.25486111111111109</v>
      </c>
      <c r="E13" s="23">
        <v>4.8611111111110938E-3</v>
      </c>
      <c r="F13" s="23">
        <v>4.8611111111111112E-3</v>
      </c>
      <c r="G13" s="23">
        <v>2.4305555555555556E-2</v>
      </c>
      <c r="H13" s="23">
        <v>0.27916666666666667</v>
      </c>
      <c r="I13" s="23">
        <v>0</v>
      </c>
      <c r="J13" s="23"/>
      <c r="K13" s="23">
        <v>0.25486111111111109</v>
      </c>
      <c r="L13" s="30">
        <v>2.430555555555558E-2</v>
      </c>
      <c r="M13" s="74" t="s">
        <v>114</v>
      </c>
      <c r="N13" s="79">
        <v>1</v>
      </c>
    </row>
    <row r="14" spans="1:14" hidden="1" x14ac:dyDescent="0.35">
      <c r="A14"/>
      <c r="B14" t="s">
        <v>108</v>
      </c>
      <c r="C14" s="28">
        <v>1</v>
      </c>
      <c r="D14" s="23">
        <v>0.25972222222222224</v>
      </c>
      <c r="E14" s="23">
        <v>4.8611111111111494E-3</v>
      </c>
      <c r="F14" s="23">
        <v>4.8611111111111112E-3</v>
      </c>
      <c r="G14" s="23">
        <v>2.4305555555555556E-2</v>
      </c>
      <c r="H14" s="23">
        <v>0.28402777777777782</v>
      </c>
      <c r="I14" s="23">
        <v>0</v>
      </c>
      <c r="J14" s="23"/>
      <c r="K14" s="23">
        <v>0.25972222222222224</v>
      </c>
      <c r="L14" s="30">
        <v>2.430555555555558E-2</v>
      </c>
      <c r="M14" s="77" t="s">
        <v>112</v>
      </c>
      <c r="N14" s="79">
        <v>1</v>
      </c>
    </row>
    <row r="15" spans="1:14" hidden="1" x14ac:dyDescent="0.35">
      <c r="A15"/>
      <c r="B15" t="s">
        <v>109</v>
      </c>
      <c r="C15" s="28">
        <v>4</v>
      </c>
      <c r="D15" s="23">
        <v>0.25972222222222224</v>
      </c>
      <c r="E15" s="23">
        <v>4.8611111111111494E-3</v>
      </c>
      <c r="F15" s="23">
        <v>4.8611111111111112E-3</v>
      </c>
      <c r="G15" s="23">
        <v>2.4305555555555556E-2</v>
      </c>
      <c r="H15" s="23">
        <v>0.28402777777777782</v>
      </c>
      <c r="I15" s="23">
        <v>0</v>
      </c>
      <c r="J15" s="23">
        <v>2.0833333333333333E-3</v>
      </c>
      <c r="K15" s="23">
        <v>0.25972222222222224</v>
      </c>
      <c r="L15" s="30">
        <v>2.6388888888888913E-2</v>
      </c>
      <c r="M15" s="74" t="s">
        <v>112</v>
      </c>
      <c r="N15" s="79">
        <v>1</v>
      </c>
    </row>
    <row r="16" spans="1:14" hidden="1" x14ac:dyDescent="0.35">
      <c r="A16"/>
      <c r="B16" t="s">
        <v>108</v>
      </c>
      <c r="C16" s="28">
        <v>2</v>
      </c>
      <c r="D16" s="23">
        <v>0.26458333333333334</v>
      </c>
      <c r="E16" s="23">
        <v>4.8611111111110938E-3</v>
      </c>
      <c r="F16" s="23">
        <v>4.8611111111111112E-3</v>
      </c>
      <c r="G16" s="23">
        <v>2.4305555555555556E-2</v>
      </c>
      <c r="H16" s="23">
        <v>0.28888888888888892</v>
      </c>
      <c r="I16" s="23">
        <v>0</v>
      </c>
      <c r="J16" s="23"/>
      <c r="K16" s="23">
        <v>0.26458333333333334</v>
      </c>
      <c r="L16" s="30">
        <v>2.430555555555558E-2</v>
      </c>
      <c r="M16" s="74" t="s">
        <v>112</v>
      </c>
      <c r="N16" s="79">
        <v>1</v>
      </c>
    </row>
    <row r="17" spans="1:14" x14ac:dyDescent="0.35">
      <c r="A17" t="s">
        <v>63</v>
      </c>
      <c r="B17" t="s">
        <v>109</v>
      </c>
      <c r="C17" s="28">
        <v>10</v>
      </c>
      <c r="D17" s="23">
        <v>0.26458333333333334</v>
      </c>
      <c r="E17" s="23">
        <v>4.8611111111110938E-3</v>
      </c>
      <c r="F17" s="23">
        <v>4.8611111111111112E-3</v>
      </c>
      <c r="G17" s="23">
        <v>2.4305555555555556E-2</v>
      </c>
      <c r="H17" s="23">
        <v>0.28888888888888892</v>
      </c>
      <c r="I17" s="23">
        <v>0</v>
      </c>
      <c r="J17" s="23"/>
      <c r="K17" s="23">
        <v>0.26458333333333334</v>
      </c>
      <c r="L17" s="30">
        <v>2.430555555555558E-2</v>
      </c>
      <c r="M17" s="74" t="s">
        <v>112</v>
      </c>
      <c r="N17" s="79">
        <v>1</v>
      </c>
    </row>
    <row r="18" spans="1:14" hidden="1" x14ac:dyDescent="0.35">
      <c r="A18"/>
      <c r="B18" t="s">
        <v>108</v>
      </c>
      <c r="C18" s="28">
        <v>8</v>
      </c>
      <c r="D18" s="23">
        <v>0.26944444444444443</v>
      </c>
      <c r="E18" s="23">
        <v>4.8611111111110938E-3</v>
      </c>
      <c r="F18" s="23">
        <v>4.8611111111111112E-3</v>
      </c>
      <c r="G18" s="23">
        <v>2.4305555555555556E-2</v>
      </c>
      <c r="H18" s="23">
        <v>0.29375000000000001</v>
      </c>
      <c r="I18" s="23">
        <v>0</v>
      </c>
      <c r="J18" s="23"/>
      <c r="K18" s="23">
        <v>0.26944444444444443</v>
      </c>
      <c r="L18" s="30">
        <v>2.430555555555558E-2</v>
      </c>
      <c r="M18" s="74" t="s">
        <v>114</v>
      </c>
      <c r="N18" s="79">
        <v>1</v>
      </c>
    </row>
    <row r="19" spans="1:14" hidden="1" x14ac:dyDescent="0.35">
      <c r="A19"/>
      <c r="B19" t="s">
        <v>109</v>
      </c>
      <c r="C19" s="28">
        <v>5</v>
      </c>
      <c r="D19" s="23">
        <v>0.26944444444444443</v>
      </c>
      <c r="E19" s="23">
        <v>4.8611111111110938E-3</v>
      </c>
      <c r="F19" s="23">
        <v>4.8611111111111112E-3</v>
      </c>
      <c r="G19" s="23">
        <v>2.4305555555555556E-2</v>
      </c>
      <c r="H19" s="23">
        <v>0.29375000000000001</v>
      </c>
      <c r="I19" s="23">
        <v>0</v>
      </c>
      <c r="J19" s="23">
        <v>3.472222222222222E-3</v>
      </c>
      <c r="K19" s="23">
        <v>0.26944444444444443</v>
      </c>
      <c r="L19" s="30">
        <v>2.7777777777777804E-2</v>
      </c>
      <c r="M19" s="74" t="s">
        <v>114</v>
      </c>
      <c r="N19" s="79">
        <v>1</v>
      </c>
    </row>
    <row r="20" spans="1:14" hidden="1" x14ac:dyDescent="0.35">
      <c r="A20" s="28"/>
      <c r="B20" s="23" t="s">
        <v>108</v>
      </c>
      <c r="C20" s="28">
        <v>3</v>
      </c>
      <c r="D20" s="23">
        <v>0.27430555555555558</v>
      </c>
      <c r="E20" s="23">
        <v>4.8611111111111494E-3</v>
      </c>
      <c r="F20" s="23">
        <v>4.8611111111111112E-3</v>
      </c>
      <c r="G20" s="23">
        <v>2.4305555555555556E-2</v>
      </c>
      <c r="H20" s="23">
        <v>0.29861111111111116</v>
      </c>
      <c r="I20" s="23">
        <v>0</v>
      </c>
      <c r="J20" s="23"/>
      <c r="K20" s="23">
        <v>0.27430555555555558</v>
      </c>
      <c r="L20" s="30">
        <v>2.430555555555558E-2</v>
      </c>
      <c r="M20" s="74" t="s">
        <v>112</v>
      </c>
      <c r="N20" s="79">
        <v>1</v>
      </c>
    </row>
    <row r="21" spans="1:14" hidden="1" x14ac:dyDescent="0.35">
      <c r="A21"/>
      <c r="B21" t="s">
        <v>109</v>
      </c>
      <c r="C21" s="28">
        <v>6</v>
      </c>
      <c r="D21" s="23">
        <v>0.27430555555555558</v>
      </c>
      <c r="E21" s="23">
        <v>4.8611111111111494E-3</v>
      </c>
      <c r="F21" s="23">
        <v>4.8611111111111112E-3</v>
      </c>
      <c r="G21" s="23">
        <v>2.4305555555555556E-2</v>
      </c>
      <c r="H21" s="23">
        <v>0.29861111111111116</v>
      </c>
      <c r="I21" s="23">
        <v>0</v>
      </c>
      <c r="J21" s="23"/>
      <c r="K21" s="23">
        <v>0.27430555555555558</v>
      </c>
      <c r="L21" s="30">
        <v>2.430555555555558E-2</v>
      </c>
      <c r="M21" s="74" t="s">
        <v>112</v>
      </c>
      <c r="N21" s="79">
        <v>1</v>
      </c>
    </row>
    <row r="22" spans="1:14" hidden="1" x14ac:dyDescent="0.35">
      <c r="A22"/>
      <c r="B22" t="s">
        <v>108</v>
      </c>
      <c r="C22" s="28">
        <v>9</v>
      </c>
      <c r="D22" s="23">
        <v>0.27916666666666667</v>
      </c>
      <c r="E22" s="23">
        <v>4.8611111111110938E-3</v>
      </c>
      <c r="F22" s="23">
        <v>4.8611111111111112E-3</v>
      </c>
      <c r="G22" s="23">
        <v>2.4305555555555556E-2</v>
      </c>
      <c r="H22" s="23">
        <v>0.30347222222222225</v>
      </c>
      <c r="I22" s="23">
        <v>0</v>
      </c>
      <c r="J22" s="23"/>
      <c r="K22" s="23">
        <v>0.27916666666666667</v>
      </c>
      <c r="L22" s="30">
        <v>2.430555555555558E-2</v>
      </c>
      <c r="M22" s="74" t="s">
        <v>114</v>
      </c>
      <c r="N22" s="79">
        <v>1</v>
      </c>
    </row>
    <row r="23" spans="1:14" hidden="1" x14ac:dyDescent="0.35">
      <c r="A23"/>
      <c r="B23" t="s">
        <v>109</v>
      </c>
      <c r="C23" s="28">
        <v>7</v>
      </c>
      <c r="D23" s="23">
        <v>0.27916666666666667</v>
      </c>
      <c r="E23" s="23">
        <v>4.8611111111110938E-3</v>
      </c>
      <c r="F23" s="23">
        <v>4.8611111111111112E-3</v>
      </c>
      <c r="G23" s="23">
        <v>2.4305555555555556E-2</v>
      </c>
      <c r="H23" s="23">
        <v>0.30347222222222225</v>
      </c>
      <c r="I23" s="23">
        <v>0</v>
      </c>
      <c r="J23" s="23"/>
      <c r="K23" s="23">
        <v>0.27916666666666667</v>
      </c>
      <c r="L23" s="30">
        <v>2.430555555555558E-2</v>
      </c>
      <c r="M23" s="74" t="s">
        <v>112</v>
      </c>
      <c r="N23" s="79">
        <v>1</v>
      </c>
    </row>
    <row r="24" spans="1:14" hidden="1" x14ac:dyDescent="0.35">
      <c r="A24"/>
      <c r="B24" t="s">
        <v>108</v>
      </c>
      <c r="C24" s="28">
        <v>4</v>
      </c>
      <c r="D24" s="23">
        <v>0.28402777777777782</v>
      </c>
      <c r="E24" s="23">
        <v>4.8611111111111494E-3</v>
      </c>
      <c r="F24" s="23">
        <v>4.8611111111111112E-3</v>
      </c>
      <c r="G24" s="23">
        <v>2.4305555555555556E-2</v>
      </c>
      <c r="H24" s="23">
        <v>0.3083333333333334</v>
      </c>
      <c r="I24" s="23">
        <v>0</v>
      </c>
      <c r="J24" s="23"/>
      <c r="K24" s="23">
        <v>0.28402777777777782</v>
      </c>
      <c r="L24" s="30">
        <v>2.430555555555558E-2</v>
      </c>
      <c r="M24" s="74" t="s">
        <v>112</v>
      </c>
      <c r="N24" s="79">
        <v>1</v>
      </c>
    </row>
    <row r="25" spans="1:14" hidden="1" x14ac:dyDescent="0.35">
      <c r="A25"/>
      <c r="B25" t="s">
        <v>109</v>
      </c>
      <c r="C25" s="28">
        <v>1</v>
      </c>
      <c r="D25" s="23">
        <v>0.28402777777777782</v>
      </c>
      <c r="E25" s="23">
        <v>4.8611111111111494E-3</v>
      </c>
      <c r="F25" s="23">
        <v>4.8611111111111112E-3</v>
      </c>
      <c r="G25" s="23">
        <v>2.4305555555555556E-2</v>
      </c>
      <c r="H25" s="23">
        <v>0.3083333333333334</v>
      </c>
      <c r="I25" s="23">
        <v>0</v>
      </c>
      <c r="J25" s="23"/>
      <c r="K25" s="23">
        <v>0.28402777777777782</v>
      </c>
      <c r="L25" s="30">
        <v>2.430555555555558E-2</v>
      </c>
      <c r="M25" s="77" t="s">
        <v>112</v>
      </c>
      <c r="N25" s="79">
        <v>1</v>
      </c>
    </row>
    <row r="26" spans="1:14" x14ac:dyDescent="0.35">
      <c r="A26"/>
      <c r="B26" t="s">
        <v>108</v>
      </c>
      <c r="C26" s="28">
        <v>10</v>
      </c>
      <c r="D26" s="23">
        <v>0.28888888888888892</v>
      </c>
      <c r="E26" s="23">
        <v>4.8611111111110938E-3</v>
      </c>
      <c r="F26" s="23">
        <v>4.8611111111111112E-3</v>
      </c>
      <c r="G26" s="23">
        <v>2.4305555555555556E-2</v>
      </c>
      <c r="H26" s="23">
        <v>0.3131944444444445</v>
      </c>
      <c r="I26" s="23">
        <v>0</v>
      </c>
      <c r="J26" s="23"/>
      <c r="K26" s="23">
        <v>0.28888888888888892</v>
      </c>
      <c r="L26" s="30">
        <v>2.430555555555558E-2</v>
      </c>
      <c r="M26" s="74" t="s">
        <v>112</v>
      </c>
      <c r="N26" s="79">
        <v>1</v>
      </c>
    </row>
    <row r="27" spans="1:14" hidden="1" x14ac:dyDescent="0.35">
      <c r="A27"/>
      <c r="B27" t="s">
        <v>109</v>
      </c>
      <c r="C27" s="28">
        <v>2</v>
      </c>
      <c r="D27" s="23">
        <v>0.28888888888888892</v>
      </c>
      <c r="E27" s="23">
        <v>4.8611111111110938E-3</v>
      </c>
      <c r="F27" s="23">
        <v>4.8611111111111112E-3</v>
      </c>
      <c r="G27" s="23">
        <v>2.4305555555555556E-2</v>
      </c>
      <c r="H27" s="23">
        <v>0.3131944444444445</v>
      </c>
      <c r="I27" s="23">
        <v>0</v>
      </c>
      <c r="J27" s="23"/>
      <c r="K27" s="23">
        <v>0.28888888888888892</v>
      </c>
      <c r="L27" s="30">
        <v>2.430555555555558E-2</v>
      </c>
      <c r="M27" s="74" t="s">
        <v>112</v>
      </c>
      <c r="N27" s="79">
        <v>1</v>
      </c>
    </row>
    <row r="28" spans="1:14" hidden="1" x14ac:dyDescent="0.35">
      <c r="A28"/>
      <c r="B28" t="s">
        <v>108</v>
      </c>
      <c r="C28" s="28">
        <v>5</v>
      </c>
      <c r="D28" s="23">
        <v>0.29375000000000001</v>
      </c>
      <c r="E28" s="23">
        <v>4.8611111111110938E-3</v>
      </c>
      <c r="F28" s="23">
        <v>4.8611111111111112E-3</v>
      </c>
      <c r="G28" s="23">
        <v>2.4305555555555556E-2</v>
      </c>
      <c r="H28" s="23">
        <v>0.31805555555555559</v>
      </c>
      <c r="I28" s="23">
        <v>0</v>
      </c>
      <c r="J28" s="23"/>
      <c r="K28" s="23">
        <v>0.29375000000000001</v>
      </c>
      <c r="L28" s="30">
        <v>2.430555555555558E-2</v>
      </c>
      <c r="M28" s="74" t="s">
        <v>114</v>
      </c>
      <c r="N28" s="79">
        <v>1</v>
      </c>
    </row>
    <row r="29" spans="1:14" hidden="1" x14ac:dyDescent="0.35">
      <c r="A29"/>
      <c r="B29" t="s">
        <v>109</v>
      </c>
      <c r="C29" s="28">
        <v>8</v>
      </c>
      <c r="D29" s="23">
        <v>0.29375000000000001</v>
      </c>
      <c r="E29" s="23">
        <v>4.8611111111110938E-3</v>
      </c>
      <c r="F29" s="23">
        <v>4.8611111111111112E-3</v>
      </c>
      <c r="G29" s="23">
        <v>2.4305555555555556E-2</v>
      </c>
      <c r="H29" s="23">
        <v>0.31805555555555559</v>
      </c>
      <c r="I29" s="23">
        <v>0</v>
      </c>
      <c r="J29" s="23"/>
      <c r="K29" s="23">
        <v>0.29375000000000001</v>
      </c>
      <c r="L29" s="30">
        <v>2.430555555555558E-2</v>
      </c>
      <c r="M29" s="74" t="s">
        <v>114</v>
      </c>
      <c r="N29" s="79">
        <v>1</v>
      </c>
    </row>
    <row r="30" spans="1:14" hidden="1" x14ac:dyDescent="0.35">
      <c r="A30"/>
      <c r="B30" t="s">
        <v>108</v>
      </c>
      <c r="C30" s="28">
        <v>6</v>
      </c>
      <c r="D30" s="23">
        <v>0.29861111111111116</v>
      </c>
      <c r="E30" s="23">
        <v>4.8611111111111494E-3</v>
      </c>
      <c r="F30" s="23">
        <v>4.8611111111111112E-3</v>
      </c>
      <c r="G30" s="23">
        <v>2.4305555555555556E-2</v>
      </c>
      <c r="H30" s="23">
        <v>0.32291666666666674</v>
      </c>
      <c r="I30" s="23">
        <v>0</v>
      </c>
      <c r="J30" s="23"/>
      <c r="K30" s="23">
        <v>0.29861111111111116</v>
      </c>
      <c r="L30" s="30">
        <v>2.430555555555558E-2</v>
      </c>
      <c r="M30" s="74" t="s">
        <v>112</v>
      </c>
      <c r="N30" s="79">
        <v>1</v>
      </c>
    </row>
    <row r="31" spans="1:14" hidden="1" x14ac:dyDescent="0.35">
      <c r="A31"/>
      <c r="B31" t="s">
        <v>109</v>
      </c>
      <c r="C31" s="28">
        <v>3</v>
      </c>
      <c r="D31" s="23">
        <v>0.29861111111111116</v>
      </c>
      <c r="E31" s="23">
        <v>4.8611111111111494E-3</v>
      </c>
      <c r="F31" s="23">
        <v>4.8611111111111112E-3</v>
      </c>
      <c r="G31" s="23">
        <v>2.4305555555555556E-2</v>
      </c>
      <c r="H31" s="23">
        <v>0.32291666666666674</v>
      </c>
      <c r="I31" s="23">
        <v>0</v>
      </c>
      <c r="J31" s="23"/>
      <c r="K31" s="23">
        <v>0.29861111111111116</v>
      </c>
      <c r="L31" s="30">
        <v>2.430555555555558E-2</v>
      </c>
      <c r="M31" s="74" t="s">
        <v>112</v>
      </c>
      <c r="N31" s="79">
        <v>1</v>
      </c>
    </row>
    <row r="32" spans="1:14" hidden="1" x14ac:dyDescent="0.35">
      <c r="A32"/>
      <c r="B32" t="s">
        <v>108</v>
      </c>
      <c r="C32" s="28">
        <v>7</v>
      </c>
      <c r="D32" s="23">
        <v>0.30347222222222225</v>
      </c>
      <c r="E32" s="23">
        <v>4.8611111111110938E-3</v>
      </c>
      <c r="F32" s="23">
        <v>4.8611111111111112E-3</v>
      </c>
      <c r="G32" s="23">
        <v>2.4305555555555556E-2</v>
      </c>
      <c r="H32" s="23">
        <v>0.32777777777777783</v>
      </c>
      <c r="I32" s="23">
        <v>0</v>
      </c>
      <c r="J32" s="23"/>
      <c r="K32" s="23">
        <v>0.30347222222222225</v>
      </c>
      <c r="L32" s="30">
        <v>2.430555555555558E-2</v>
      </c>
      <c r="M32" s="74" t="s">
        <v>112</v>
      </c>
      <c r="N32" s="79">
        <v>1</v>
      </c>
    </row>
    <row r="33" spans="1:14" hidden="1" x14ac:dyDescent="0.35">
      <c r="A33"/>
      <c r="B33" t="s">
        <v>109</v>
      </c>
      <c r="C33" s="28">
        <v>9</v>
      </c>
      <c r="D33" s="23">
        <v>0.30347222222222225</v>
      </c>
      <c r="E33" s="23">
        <v>4.8611111111110938E-3</v>
      </c>
      <c r="F33" s="23">
        <v>4.8611111111111112E-3</v>
      </c>
      <c r="G33" s="23">
        <v>2.4305555555555556E-2</v>
      </c>
      <c r="H33" s="23">
        <v>0.32777777777777783</v>
      </c>
      <c r="I33" s="23">
        <v>0</v>
      </c>
      <c r="J33" s="23"/>
      <c r="K33" s="23">
        <v>0.30347222222222225</v>
      </c>
      <c r="L33" s="30">
        <v>2.430555555555558E-2</v>
      </c>
      <c r="M33" s="74" t="s">
        <v>114</v>
      </c>
      <c r="N33" s="79">
        <v>1</v>
      </c>
    </row>
    <row r="34" spans="1:14" hidden="1" x14ac:dyDescent="0.35">
      <c r="A34"/>
      <c r="B34" t="s">
        <v>108</v>
      </c>
      <c r="C34" s="28">
        <v>1</v>
      </c>
      <c r="D34" s="23">
        <v>0.3083333333333334</v>
      </c>
      <c r="E34" s="23">
        <v>4.8611111111111494E-3</v>
      </c>
      <c r="F34" s="23">
        <v>4.8611111111111112E-3</v>
      </c>
      <c r="G34" s="23">
        <v>2.4305555555555556E-2</v>
      </c>
      <c r="H34" s="23">
        <v>0.33263888888888898</v>
      </c>
      <c r="I34" s="23">
        <v>0</v>
      </c>
      <c r="J34" s="23"/>
      <c r="K34" s="23">
        <v>0.3083333333333334</v>
      </c>
      <c r="L34" s="30">
        <v>2.430555555555558E-2</v>
      </c>
      <c r="M34" s="77" t="s">
        <v>112</v>
      </c>
      <c r="N34" s="79">
        <v>1</v>
      </c>
    </row>
    <row r="35" spans="1:14" hidden="1" x14ac:dyDescent="0.35">
      <c r="A35"/>
      <c r="B35" t="s">
        <v>109</v>
      </c>
      <c r="C35" s="28">
        <v>4</v>
      </c>
      <c r="D35" s="23">
        <v>0.3083333333333334</v>
      </c>
      <c r="E35" s="23">
        <v>4.8611111111111494E-3</v>
      </c>
      <c r="F35" s="23">
        <v>4.8611111111111112E-3</v>
      </c>
      <c r="G35" s="23">
        <v>2.4305555555555556E-2</v>
      </c>
      <c r="H35" s="23">
        <v>0.33263888888888898</v>
      </c>
      <c r="I35" s="23">
        <v>0</v>
      </c>
      <c r="J35" s="23"/>
      <c r="K35" s="23">
        <v>0.3083333333333334</v>
      </c>
      <c r="L35" s="30">
        <v>2.430555555555558E-2</v>
      </c>
      <c r="M35" s="74" t="s">
        <v>112</v>
      </c>
      <c r="N35" s="79">
        <v>1</v>
      </c>
    </row>
    <row r="36" spans="1:14" hidden="1" x14ac:dyDescent="0.35">
      <c r="A36"/>
      <c r="B36" t="s">
        <v>108</v>
      </c>
      <c r="C36" s="28">
        <v>2</v>
      </c>
      <c r="D36" s="23">
        <v>0.3131944444444445</v>
      </c>
      <c r="E36" s="23">
        <v>4.8611111111110938E-3</v>
      </c>
      <c r="F36" s="23">
        <v>4.8611111111111112E-3</v>
      </c>
      <c r="G36" s="23">
        <v>2.4305555555555556E-2</v>
      </c>
      <c r="H36" s="23">
        <v>0.33750000000000008</v>
      </c>
      <c r="I36" s="23">
        <v>0</v>
      </c>
      <c r="J36" s="23"/>
      <c r="K36" s="23">
        <v>0.3131944444444445</v>
      </c>
      <c r="L36" s="30">
        <v>2.430555555555558E-2</v>
      </c>
      <c r="M36" s="74" t="s">
        <v>112</v>
      </c>
      <c r="N36" s="79">
        <v>1</v>
      </c>
    </row>
    <row r="37" spans="1:14" x14ac:dyDescent="0.35">
      <c r="A37"/>
      <c r="B37" t="s">
        <v>109</v>
      </c>
      <c r="C37" s="28">
        <v>10</v>
      </c>
      <c r="D37" s="23">
        <v>0.3131944444444445</v>
      </c>
      <c r="E37" s="23">
        <v>4.8611111111110938E-3</v>
      </c>
      <c r="F37" s="23">
        <v>4.8611111111111112E-3</v>
      </c>
      <c r="G37" s="23">
        <v>2.4305555555555556E-2</v>
      </c>
      <c r="H37" s="23">
        <v>0.33750000000000008</v>
      </c>
      <c r="I37" s="23">
        <v>0</v>
      </c>
      <c r="J37" s="23"/>
      <c r="K37" s="23">
        <v>0.3131944444444445</v>
      </c>
      <c r="L37" s="30">
        <v>2.430555555555558E-2</v>
      </c>
      <c r="M37" s="74" t="s">
        <v>112</v>
      </c>
      <c r="N37" s="79">
        <v>1</v>
      </c>
    </row>
    <row r="38" spans="1:14" hidden="1" x14ac:dyDescent="0.35">
      <c r="A38"/>
      <c r="B38" t="s">
        <v>108</v>
      </c>
      <c r="C38" s="28">
        <v>8</v>
      </c>
      <c r="D38" s="23">
        <v>0.31805555555555559</v>
      </c>
      <c r="E38" s="23">
        <v>4.8611111111110938E-3</v>
      </c>
      <c r="F38" s="23">
        <v>4.8611111111111112E-3</v>
      </c>
      <c r="G38" s="23">
        <v>2.4305555555555556E-2</v>
      </c>
      <c r="H38" s="23">
        <v>0.34236111111111117</v>
      </c>
      <c r="I38" s="23">
        <v>0</v>
      </c>
      <c r="J38" s="23"/>
      <c r="K38" s="23">
        <v>0.31805555555555559</v>
      </c>
      <c r="L38" s="30">
        <v>2.430555555555558E-2</v>
      </c>
      <c r="M38" s="74" t="s">
        <v>114</v>
      </c>
      <c r="N38" s="79">
        <v>1</v>
      </c>
    </row>
    <row r="39" spans="1:14" hidden="1" x14ac:dyDescent="0.35">
      <c r="A39"/>
      <c r="B39" t="s">
        <v>109</v>
      </c>
      <c r="C39" s="28">
        <v>5</v>
      </c>
      <c r="D39" s="23">
        <v>0.31805555555555559</v>
      </c>
      <c r="E39" s="23">
        <v>4.8611111111110938E-3</v>
      </c>
      <c r="F39" s="23">
        <v>4.8611111111111112E-3</v>
      </c>
      <c r="G39" s="23">
        <v>2.4305555555555556E-2</v>
      </c>
      <c r="H39" s="23">
        <v>0.34236111111111117</v>
      </c>
      <c r="I39" s="23">
        <v>0</v>
      </c>
      <c r="J39" s="23"/>
      <c r="K39" s="23">
        <v>0.31805555555555559</v>
      </c>
      <c r="L39" s="30">
        <v>2.430555555555558E-2</v>
      </c>
      <c r="M39" s="74" t="s">
        <v>114</v>
      </c>
      <c r="N39" s="79">
        <v>1</v>
      </c>
    </row>
    <row r="40" spans="1:14" hidden="1" x14ac:dyDescent="0.35">
      <c r="A40"/>
      <c r="B40" t="s">
        <v>108</v>
      </c>
      <c r="C40" s="28">
        <v>3</v>
      </c>
      <c r="D40" s="23">
        <v>0.32291666666666674</v>
      </c>
      <c r="E40" s="23">
        <v>4.8611111111111494E-3</v>
      </c>
      <c r="F40" s="23">
        <v>4.8611111111111112E-3</v>
      </c>
      <c r="G40" s="23">
        <v>2.4305555555555556E-2</v>
      </c>
      <c r="H40" s="23">
        <v>0.34722222222222232</v>
      </c>
      <c r="I40" s="23">
        <v>0</v>
      </c>
      <c r="J40" s="23"/>
      <c r="K40" s="23">
        <v>0.32291666666666674</v>
      </c>
      <c r="L40" s="30">
        <v>2.430555555555558E-2</v>
      </c>
      <c r="M40" s="74" t="s">
        <v>112</v>
      </c>
      <c r="N40" s="79">
        <v>1</v>
      </c>
    </row>
    <row r="41" spans="1:14" hidden="1" x14ac:dyDescent="0.35">
      <c r="A41"/>
      <c r="B41" t="s">
        <v>109</v>
      </c>
      <c r="C41" s="28">
        <v>6</v>
      </c>
      <c r="D41" s="23">
        <v>0.32291666666666674</v>
      </c>
      <c r="E41" s="23">
        <v>4.8611111111111494E-3</v>
      </c>
      <c r="F41" s="23">
        <v>4.8611111111111112E-3</v>
      </c>
      <c r="G41" s="23">
        <v>2.4305555555555556E-2</v>
      </c>
      <c r="H41" s="23">
        <v>0.34722222222222232</v>
      </c>
      <c r="I41" s="23">
        <v>0</v>
      </c>
      <c r="J41" s="23"/>
      <c r="K41" s="23">
        <v>0.32291666666666674</v>
      </c>
      <c r="L41" s="30">
        <v>2.430555555555558E-2</v>
      </c>
      <c r="M41" s="74" t="s">
        <v>112</v>
      </c>
      <c r="N41" s="79">
        <v>1</v>
      </c>
    </row>
    <row r="42" spans="1:14" hidden="1" x14ac:dyDescent="0.35">
      <c r="A42"/>
      <c r="B42" t="s">
        <v>108</v>
      </c>
      <c r="C42" s="28">
        <v>9</v>
      </c>
      <c r="D42" s="23">
        <v>0.32777777777777783</v>
      </c>
      <c r="E42" s="23">
        <v>4.8611111111110938E-3</v>
      </c>
      <c r="F42" s="23">
        <v>4.8611111111111112E-3</v>
      </c>
      <c r="G42" s="23">
        <v>2.4305555555555556E-2</v>
      </c>
      <c r="H42" s="23">
        <v>0.35208333333333341</v>
      </c>
      <c r="I42" s="23">
        <v>0</v>
      </c>
      <c r="J42" s="23"/>
      <c r="K42" s="23">
        <v>0.32777777777777783</v>
      </c>
      <c r="L42" s="30">
        <v>2.430555555555558E-2</v>
      </c>
      <c r="M42" s="74" t="s">
        <v>114</v>
      </c>
      <c r="N42" s="79">
        <v>1</v>
      </c>
    </row>
    <row r="43" spans="1:14" hidden="1" x14ac:dyDescent="0.35">
      <c r="A43"/>
      <c r="B43" t="s">
        <v>109</v>
      </c>
      <c r="C43" s="28">
        <v>7</v>
      </c>
      <c r="D43" s="23">
        <v>0.32777777777777783</v>
      </c>
      <c r="E43" s="23">
        <v>4.8611111111110938E-3</v>
      </c>
      <c r="F43" s="23">
        <v>4.8611111111111112E-3</v>
      </c>
      <c r="G43" s="23">
        <v>2.4305555555555556E-2</v>
      </c>
      <c r="H43" s="23">
        <v>0.35208333333333341</v>
      </c>
      <c r="I43" s="23">
        <v>0</v>
      </c>
      <c r="J43" s="23"/>
      <c r="K43" s="23">
        <v>0.32777777777777783</v>
      </c>
      <c r="L43" s="30">
        <v>2.430555555555558E-2</v>
      </c>
      <c r="M43" s="74" t="s">
        <v>112</v>
      </c>
      <c r="N43" s="79">
        <v>1</v>
      </c>
    </row>
    <row r="44" spans="1:14" hidden="1" x14ac:dyDescent="0.35">
      <c r="A44" s="22"/>
      <c r="B44" t="s">
        <v>108</v>
      </c>
      <c r="C44" s="28">
        <v>4</v>
      </c>
      <c r="D44" s="23">
        <v>0.33263888888888898</v>
      </c>
      <c r="E44" s="23">
        <v>4.8611111111111494E-3</v>
      </c>
      <c r="F44" s="23">
        <v>4.8611111111111112E-3</v>
      </c>
      <c r="G44" s="23">
        <v>2.4305555555555556E-2</v>
      </c>
      <c r="H44" s="23">
        <v>0.35694444444444456</v>
      </c>
      <c r="I44" s="23">
        <v>0</v>
      </c>
      <c r="J44" s="23"/>
      <c r="K44" s="23">
        <v>0.33263888888888898</v>
      </c>
      <c r="L44" s="30">
        <v>2.430555555555558E-2</v>
      </c>
      <c r="M44" s="74" t="s">
        <v>112</v>
      </c>
      <c r="N44" s="79">
        <v>1</v>
      </c>
    </row>
    <row r="45" spans="1:14" hidden="1" x14ac:dyDescent="0.35">
      <c r="A45"/>
      <c r="B45" t="s">
        <v>109</v>
      </c>
      <c r="C45" s="28">
        <v>1</v>
      </c>
      <c r="D45" s="23">
        <v>0.33263888888888898</v>
      </c>
      <c r="E45" s="23">
        <v>4.8611111111111494E-3</v>
      </c>
      <c r="F45" s="23">
        <v>4.8611111111111112E-3</v>
      </c>
      <c r="G45" s="23">
        <v>2.4305555555555556E-2</v>
      </c>
      <c r="H45" s="23">
        <v>0.35694444444444456</v>
      </c>
      <c r="I45" s="23">
        <v>0</v>
      </c>
      <c r="J45" s="23"/>
      <c r="K45" s="23">
        <v>0.33263888888888898</v>
      </c>
      <c r="L45" s="30">
        <v>2.430555555555558E-2</v>
      </c>
      <c r="M45" s="77" t="s">
        <v>112</v>
      </c>
      <c r="N45" s="79">
        <v>1</v>
      </c>
    </row>
    <row r="46" spans="1:14" x14ac:dyDescent="0.35">
      <c r="A46"/>
      <c r="B46" t="s">
        <v>108</v>
      </c>
      <c r="C46" s="28">
        <v>10</v>
      </c>
      <c r="D46" s="23">
        <v>0.33750000000000008</v>
      </c>
      <c r="E46" s="23">
        <v>4.8611111111110938E-3</v>
      </c>
      <c r="F46" s="23">
        <v>4.8611111111111112E-3</v>
      </c>
      <c r="G46" s="23">
        <v>2.4305555555555556E-2</v>
      </c>
      <c r="H46" s="23">
        <v>0.36180555555555566</v>
      </c>
      <c r="I46" s="23">
        <v>0</v>
      </c>
      <c r="J46" s="23"/>
      <c r="K46" s="23">
        <v>0.33750000000000008</v>
      </c>
      <c r="L46" s="30">
        <v>2.430555555555558E-2</v>
      </c>
      <c r="M46" s="74" t="s">
        <v>112</v>
      </c>
      <c r="N46" s="79">
        <v>1</v>
      </c>
    </row>
    <row r="47" spans="1:14" hidden="1" x14ac:dyDescent="0.35">
      <c r="A47"/>
      <c r="B47" t="s">
        <v>109</v>
      </c>
      <c r="C47" s="28">
        <v>2</v>
      </c>
      <c r="D47" s="23">
        <v>0.33750000000000008</v>
      </c>
      <c r="E47" s="23">
        <v>4.8611111111110938E-3</v>
      </c>
      <c r="F47" s="23">
        <v>4.8611111111111112E-3</v>
      </c>
      <c r="G47" s="23">
        <v>2.4305555555555556E-2</v>
      </c>
      <c r="H47" s="23">
        <v>0.36180555555555566</v>
      </c>
      <c r="I47" s="23">
        <v>0</v>
      </c>
      <c r="J47" s="23"/>
      <c r="K47" s="23">
        <v>0.33750000000000008</v>
      </c>
      <c r="L47" s="30">
        <v>2.430555555555558E-2</v>
      </c>
      <c r="M47" s="74" t="s">
        <v>112</v>
      </c>
      <c r="N47" s="79">
        <v>1</v>
      </c>
    </row>
    <row r="48" spans="1:14" hidden="1" x14ac:dyDescent="0.35">
      <c r="A48"/>
      <c r="B48" t="s">
        <v>108</v>
      </c>
      <c r="C48" s="28">
        <v>5</v>
      </c>
      <c r="D48" s="23">
        <v>0.34236111111111117</v>
      </c>
      <c r="E48" s="23">
        <v>4.8611111111110938E-3</v>
      </c>
      <c r="F48" s="23">
        <v>4.8611111111111112E-3</v>
      </c>
      <c r="G48" s="23">
        <v>2.4305555555555556E-2</v>
      </c>
      <c r="H48" s="23">
        <v>0.36666666666666675</v>
      </c>
      <c r="I48" s="23">
        <v>0</v>
      </c>
      <c r="J48" s="23"/>
      <c r="K48" s="23">
        <v>0.34236111111111117</v>
      </c>
      <c r="L48" s="30">
        <v>2.430555555555558E-2</v>
      </c>
      <c r="M48" s="74" t="s">
        <v>114</v>
      </c>
      <c r="N48" s="79">
        <v>1</v>
      </c>
    </row>
    <row r="49" spans="1:14" hidden="1" x14ac:dyDescent="0.35">
      <c r="A49" s="22"/>
      <c r="B49" t="s">
        <v>109</v>
      </c>
      <c r="C49" s="28">
        <v>8</v>
      </c>
      <c r="D49" s="23">
        <v>0.34236111111111117</v>
      </c>
      <c r="E49" s="23">
        <v>4.8611111111110938E-3</v>
      </c>
      <c r="F49" s="23">
        <v>4.8611111111111112E-3</v>
      </c>
      <c r="G49" s="23">
        <v>2.4305555555555556E-2</v>
      </c>
      <c r="H49" s="23">
        <v>0.36666666666666675</v>
      </c>
      <c r="I49" s="23">
        <v>0</v>
      </c>
      <c r="J49" s="23"/>
      <c r="K49" s="23">
        <v>0.34236111111111117</v>
      </c>
      <c r="L49" s="30">
        <v>2.430555555555558E-2</v>
      </c>
      <c r="M49" s="74" t="s">
        <v>114</v>
      </c>
      <c r="N49" s="79">
        <v>1</v>
      </c>
    </row>
    <row r="50" spans="1:14" hidden="1" x14ac:dyDescent="0.35">
      <c r="A50"/>
      <c r="B50" t="s">
        <v>108</v>
      </c>
      <c r="C50" s="28">
        <v>6</v>
      </c>
      <c r="D50" s="23">
        <v>0.34722222222222232</v>
      </c>
      <c r="E50" s="23">
        <v>4.8611111111111494E-3</v>
      </c>
      <c r="F50" s="23">
        <v>4.8611111111111112E-3</v>
      </c>
      <c r="G50" s="23">
        <v>2.4305555555555556E-2</v>
      </c>
      <c r="H50" s="23">
        <v>0.3715277777777779</v>
      </c>
      <c r="I50" s="23">
        <v>0</v>
      </c>
      <c r="J50" s="23"/>
      <c r="K50" s="23">
        <v>0.34722222222222232</v>
      </c>
      <c r="L50" s="30">
        <v>2.430555555555558E-2</v>
      </c>
      <c r="M50" s="74" t="s">
        <v>112</v>
      </c>
      <c r="N50" s="79">
        <v>1</v>
      </c>
    </row>
    <row r="51" spans="1:14" hidden="1" x14ac:dyDescent="0.35">
      <c r="A51"/>
      <c r="B51" t="s">
        <v>109</v>
      </c>
      <c r="C51" s="28">
        <v>3</v>
      </c>
      <c r="D51" s="23">
        <v>0.34722222222222232</v>
      </c>
      <c r="E51" s="23">
        <v>4.8611111111111494E-3</v>
      </c>
      <c r="F51" s="23">
        <v>4.8611111111111112E-3</v>
      </c>
      <c r="G51" s="23">
        <v>2.4305555555555556E-2</v>
      </c>
      <c r="H51" s="23">
        <v>0.3715277777777779</v>
      </c>
      <c r="I51" s="23">
        <v>0</v>
      </c>
      <c r="J51" s="23"/>
      <c r="K51" s="23">
        <v>0.34722222222222232</v>
      </c>
      <c r="L51" s="30">
        <v>2.430555555555558E-2</v>
      </c>
      <c r="M51" s="74" t="s">
        <v>112</v>
      </c>
      <c r="N51" s="79">
        <v>1</v>
      </c>
    </row>
    <row r="52" spans="1:14" hidden="1" x14ac:dyDescent="0.35">
      <c r="A52"/>
      <c r="B52" t="s">
        <v>108</v>
      </c>
      <c r="C52" s="28">
        <v>7</v>
      </c>
      <c r="D52" s="23">
        <v>0.35208333333333341</v>
      </c>
      <c r="E52" s="23">
        <v>4.8611111111110938E-3</v>
      </c>
      <c r="F52" s="23">
        <v>4.8611111111111112E-3</v>
      </c>
      <c r="G52" s="23">
        <v>2.4305555555555556E-2</v>
      </c>
      <c r="H52" s="23">
        <v>0.37638888888888899</v>
      </c>
      <c r="I52" s="23">
        <v>0</v>
      </c>
      <c r="J52" s="23"/>
      <c r="K52" s="23">
        <v>0.35208333333333341</v>
      </c>
      <c r="L52" s="30">
        <v>2.430555555555558E-2</v>
      </c>
      <c r="M52" s="74" t="s">
        <v>112</v>
      </c>
      <c r="N52" s="79">
        <v>1</v>
      </c>
    </row>
    <row r="53" spans="1:14" hidden="1" x14ac:dyDescent="0.35">
      <c r="A53" s="22"/>
      <c r="B53" t="s">
        <v>109</v>
      </c>
      <c r="C53" s="28">
        <v>9</v>
      </c>
      <c r="D53" s="23">
        <v>0.35208333333333341</v>
      </c>
      <c r="E53" s="23">
        <v>4.8611111111110938E-3</v>
      </c>
      <c r="F53" s="23">
        <v>4.8611111111111112E-3</v>
      </c>
      <c r="G53" s="23">
        <v>2.4305555555555556E-2</v>
      </c>
      <c r="H53" s="23">
        <v>0.37638888888888899</v>
      </c>
      <c r="I53" s="23">
        <v>0</v>
      </c>
      <c r="J53" s="23"/>
      <c r="K53" s="23">
        <v>0.35208333333333341</v>
      </c>
      <c r="L53" s="30">
        <v>2.430555555555558E-2</v>
      </c>
      <c r="M53" s="74" t="s">
        <v>114</v>
      </c>
      <c r="N53" s="79">
        <v>1</v>
      </c>
    </row>
    <row r="54" spans="1:14" hidden="1" x14ac:dyDescent="0.35">
      <c r="A54"/>
      <c r="B54" t="s">
        <v>108</v>
      </c>
      <c r="C54" s="28">
        <v>1</v>
      </c>
      <c r="D54" s="23">
        <v>0.35694444444444456</v>
      </c>
      <c r="E54" s="23">
        <v>4.8611111111111494E-3</v>
      </c>
      <c r="F54" s="23">
        <v>4.8611111111111112E-3</v>
      </c>
      <c r="G54" s="23">
        <v>2.4305555555555556E-2</v>
      </c>
      <c r="H54" s="23">
        <v>0.38125000000000014</v>
      </c>
      <c r="I54" s="23">
        <v>0</v>
      </c>
      <c r="J54" s="23"/>
      <c r="K54" s="23">
        <v>0.35694444444444456</v>
      </c>
      <c r="L54" s="30">
        <v>2.430555555555558E-2</v>
      </c>
      <c r="M54" s="77" t="s">
        <v>112</v>
      </c>
      <c r="N54" s="79">
        <v>1</v>
      </c>
    </row>
    <row r="55" spans="1:14" hidden="1" x14ac:dyDescent="0.35">
      <c r="A55"/>
      <c r="B55" t="s">
        <v>109</v>
      </c>
      <c r="C55" s="28">
        <v>4</v>
      </c>
      <c r="D55" s="23">
        <v>0.35694444444444456</v>
      </c>
      <c r="E55" s="23">
        <v>4.8611111111111494E-3</v>
      </c>
      <c r="F55" s="23">
        <v>4.8611111111111112E-3</v>
      </c>
      <c r="G55" s="23">
        <v>2.4305555555555556E-2</v>
      </c>
      <c r="H55" s="23">
        <v>0.38125000000000014</v>
      </c>
      <c r="I55" s="23">
        <v>0</v>
      </c>
      <c r="J55" s="23"/>
      <c r="K55" s="23">
        <v>0.35694444444444456</v>
      </c>
      <c r="L55" s="30">
        <v>2.430555555555558E-2</v>
      </c>
      <c r="M55" s="74" t="s">
        <v>112</v>
      </c>
      <c r="N55" s="79">
        <v>1</v>
      </c>
    </row>
    <row r="56" spans="1:14" hidden="1" x14ac:dyDescent="0.35">
      <c r="A56"/>
      <c r="B56" t="s">
        <v>108</v>
      </c>
      <c r="C56" s="28">
        <v>2</v>
      </c>
      <c r="D56" s="23">
        <v>0.36180555555555566</v>
      </c>
      <c r="E56" s="23">
        <v>4.8611111111110938E-3</v>
      </c>
      <c r="F56" s="23">
        <v>4.8611111111111112E-3</v>
      </c>
      <c r="G56" s="23">
        <v>2.4305555555555556E-2</v>
      </c>
      <c r="H56" s="23">
        <v>0.38611111111111124</v>
      </c>
      <c r="I56" s="23">
        <v>0</v>
      </c>
      <c r="J56" s="23"/>
      <c r="K56" s="23">
        <v>0.36180555555555566</v>
      </c>
      <c r="L56" s="30">
        <v>2.430555555555558E-2</v>
      </c>
      <c r="M56" s="74" t="s">
        <v>112</v>
      </c>
      <c r="N56" s="79">
        <v>1</v>
      </c>
    </row>
    <row r="57" spans="1:14" x14ac:dyDescent="0.35">
      <c r="A57" s="28"/>
      <c r="B57" s="23" t="s">
        <v>109</v>
      </c>
      <c r="C57" s="28">
        <v>10</v>
      </c>
      <c r="D57" s="23">
        <v>0.36180555555555566</v>
      </c>
      <c r="E57" s="23">
        <v>4.8611111111110938E-3</v>
      </c>
      <c r="F57" s="23">
        <v>4.8611111111111112E-3</v>
      </c>
      <c r="G57" s="23">
        <v>2.4305555555555556E-2</v>
      </c>
      <c r="H57" s="23">
        <v>0.38611111111111124</v>
      </c>
      <c r="I57" s="23">
        <v>0</v>
      </c>
      <c r="J57" s="23"/>
      <c r="K57" s="23">
        <v>0.36180555555555566</v>
      </c>
      <c r="L57" s="30">
        <v>2.430555555555558E-2</v>
      </c>
      <c r="M57" s="74" t="s">
        <v>112</v>
      </c>
      <c r="N57" s="79">
        <v>1</v>
      </c>
    </row>
    <row r="58" spans="1:14" hidden="1" x14ac:dyDescent="0.35">
      <c r="A58"/>
      <c r="B58" t="s">
        <v>108</v>
      </c>
      <c r="C58" s="28">
        <v>8</v>
      </c>
      <c r="D58" s="23">
        <v>0.36666666666666675</v>
      </c>
      <c r="E58" s="23">
        <v>4.8611111111110938E-3</v>
      </c>
      <c r="F58" s="23">
        <v>4.8611111111111112E-3</v>
      </c>
      <c r="G58" s="23">
        <v>2.4305555555555556E-2</v>
      </c>
      <c r="H58" s="23">
        <v>0.39097222222222233</v>
      </c>
      <c r="I58" s="23">
        <v>0</v>
      </c>
      <c r="J58" s="23"/>
      <c r="K58" s="23">
        <v>0.36666666666666675</v>
      </c>
      <c r="L58" s="30">
        <v>2.430555555555558E-2</v>
      </c>
      <c r="M58" s="74" t="s">
        <v>114</v>
      </c>
      <c r="N58" s="79">
        <v>1</v>
      </c>
    </row>
    <row r="59" spans="1:14" hidden="1" x14ac:dyDescent="0.35">
      <c r="A59"/>
      <c r="B59" t="s">
        <v>109</v>
      </c>
      <c r="C59" s="28">
        <v>5</v>
      </c>
      <c r="D59" s="23">
        <v>0.36666666666666675</v>
      </c>
      <c r="E59" s="23">
        <v>4.8611111111110938E-3</v>
      </c>
      <c r="F59" s="23">
        <v>4.8611111111111112E-3</v>
      </c>
      <c r="G59" s="23">
        <v>2.4305555555555556E-2</v>
      </c>
      <c r="H59" s="23">
        <v>0.39097222222222233</v>
      </c>
      <c r="I59" s="23">
        <v>0</v>
      </c>
      <c r="J59" s="23"/>
      <c r="K59" s="23">
        <v>0.36666666666666675</v>
      </c>
      <c r="L59" s="30">
        <v>2.430555555555558E-2</v>
      </c>
      <c r="M59" s="74" t="s">
        <v>114</v>
      </c>
      <c r="N59" s="79">
        <v>1</v>
      </c>
    </row>
    <row r="60" spans="1:14" hidden="1" x14ac:dyDescent="0.35">
      <c r="A60"/>
      <c r="B60" t="s">
        <v>108</v>
      </c>
      <c r="C60" s="28">
        <v>3</v>
      </c>
      <c r="D60" s="23">
        <v>0.3715277777777779</v>
      </c>
      <c r="E60" s="23">
        <v>4.8611111111111494E-3</v>
      </c>
      <c r="F60" s="23">
        <v>4.8611111111111112E-3</v>
      </c>
      <c r="G60" s="23">
        <v>2.4305555555555556E-2</v>
      </c>
      <c r="H60" s="23">
        <v>0.39583333333333348</v>
      </c>
      <c r="I60" s="23">
        <v>0</v>
      </c>
      <c r="J60" s="23"/>
      <c r="K60" s="23">
        <v>0.3715277777777779</v>
      </c>
      <c r="L60" s="30">
        <v>2.430555555555558E-2</v>
      </c>
      <c r="M60" s="74" t="s">
        <v>112</v>
      </c>
      <c r="N60" s="79">
        <v>1</v>
      </c>
    </row>
    <row r="61" spans="1:14" hidden="1" x14ac:dyDescent="0.35">
      <c r="A61"/>
      <c r="B61" t="s">
        <v>109</v>
      </c>
      <c r="C61" s="28">
        <v>6</v>
      </c>
      <c r="D61" s="23">
        <v>0.3715277777777779</v>
      </c>
      <c r="E61" s="23">
        <v>4.8611111111111494E-3</v>
      </c>
      <c r="F61" s="23">
        <v>4.8611111111111112E-3</v>
      </c>
      <c r="G61" s="23">
        <v>2.4305555555555556E-2</v>
      </c>
      <c r="H61" s="23">
        <v>0.39583333333333348</v>
      </c>
      <c r="I61" s="23">
        <v>0</v>
      </c>
      <c r="J61" s="23"/>
      <c r="K61" s="23">
        <v>0.3715277777777779</v>
      </c>
      <c r="L61" s="30">
        <v>2.430555555555558E-2</v>
      </c>
      <c r="M61" s="74" t="s">
        <v>112</v>
      </c>
      <c r="N61" s="79">
        <v>1</v>
      </c>
    </row>
    <row r="62" spans="1:14" hidden="1" x14ac:dyDescent="0.35">
      <c r="A62" t="s">
        <v>70</v>
      </c>
      <c r="B62" t="s">
        <v>108</v>
      </c>
      <c r="C62" s="28">
        <v>9</v>
      </c>
      <c r="D62" s="23">
        <v>0.37638888888888899</v>
      </c>
      <c r="E62" s="23">
        <v>4.8611111111110938E-3</v>
      </c>
      <c r="F62" s="23">
        <v>4.8611111111111112E-3</v>
      </c>
      <c r="G62" s="23">
        <v>2.4305555555555556E-2</v>
      </c>
      <c r="H62" s="23">
        <v>0.40069444444444458</v>
      </c>
      <c r="I62" s="23">
        <v>0</v>
      </c>
      <c r="J62" s="23"/>
      <c r="K62" s="23">
        <v>0.37638888888888899</v>
      </c>
      <c r="L62" s="30">
        <v>2.430555555555558E-2</v>
      </c>
      <c r="M62" s="74" t="s">
        <v>114</v>
      </c>
      <c r="N62" s="79">
        <v>1</v>
      </c>
    </row>
    <row r="63" spans="1:14" hidden="1" x14ac:dyDescent="0.35">
      <c r="A63"/>
      <c r="B63" t="s">
        <v>109</v>
      </c>
      <c r="C63" s="28">
        <v>7</v>
      </c>
      <c r="D63" s="23">
        <v>0.37638888888888899</v>
      </c>
      <c r="E63" s="23">
        <v>4.8611111111110938E-3</v>
      </c>
      <c r="F63" s="23">
        <v>4.8611111111111112E-3</v>
      </c>
      <c r="G63" s="23">
        <v>2.4305555555555556E-2</v>
      </c>
      <c r="H63" s="23">
        <v>0.40069444444444458</v>
      </c>
      <c r="I63" s="23">
        <v>0</v>
      </c>
      <c r="J63" s="23"/>
      <c r="K63" s="23">
        <v>0.37638888888888899</v>
      </c>
      <c r="L63" s="30">
        <v>2.430555555555558E-2</v>
      </c>
      <c r="M63" s="74" t="s">
        <v>112</v>
      </c>
      <c r="N63" s="79">
        <v>1</v>
      </c>
    </row>
    <row r="64" spans="1:14" hidden="1" x14ac:dyDescent="0.35">
      <c r="A64"/>
      <c r="B64" t="s">
        <v>108</v>
      </c>
      <c r="C64" s="28">
        <v>4</v>
      </c>
      <c r="D64" s="23">
        <v>0.38125000000000014</v>
      </c>
      <c r="E64" s="23">
        <v>4.8611111111111494E-3</v>
      </c>
      <c r="F64" s="23">
        <v>4.8611111111111112E-3</v>
      </c>
      <c r="G64" s="23">
        <v>2.4305555555555556E-2</v>
      </c>
      <c r="H64" s="23">
        <v>0.40555555555555572</v>
      </c>
      <c r="I64" s="23">
        <v>0</v>
      </c>
      <c r="J64" s="23"/>
      <c r="K64" s="23">
        <v>0.38125000000000014</v>
      </c>
      <c r="L64" s="30">
        <v>2.430555555555558E-2</v>
      </c>
      <c r="M64" s="74" t="s">
        <v>112</v>
      </c>
      <c r="N64" s="79">
        <v>1</v>
      </c>
    </row>
    <row r="65" spans="1:14" hidden="1" x14ac:dyDescent="0.35">
      <c r="A65"/>
      <c r="B65" t="s">
        <v>109</v>
      </c>
      <c r="C65" s="28">
        <v>1</v>
      </c>
      <c r="D65" s="23">
        <v>0.38125000000000014</v>
      </c>
      <c r="E65" s="23">
        <v>4.8611111111111494E-3</v>
      </c>
      <c r="F65" s="23">
        <v>4.8611111111111112E-3</v>
      </c>
      <c r="G65" s="23">
        <v>2.4305555555555556E-2</v>
      </c>
      <c r="H65" s="23">
        <v>0.40555555555555572</v>
      </c>
      <c r="I65" s="23">
        <v>0</v>
      </c>
      <c r="J65" s="23"/>
      <c r="K65" s="23">
        <v>0.38125000000000014</v>
      </c>
      <c r="L65" s="30">
        <v>2.430555555555558E-2</v>
      </c>
      <c r="M65" s="77" t="s">
        <v>112</v>
      </c>
      <c r="N65" s="79">
        <v>1</v>
      </c>
    </row>
    <row r="66" spans="1:14" x14ac:dyDescent="0.35">
      <c r="A66"/>
      <c r="B66" t="s">
        <v>108</v>
      </c>
      <c r="C66" s="28">
        <v>10</v>
      </c>
      <c r="D66" s="23">
        <v>0.38611111111111124</v>
      </c>
      <c r="E66" s="23">
        <v>4.8611111111110938E-3</v>
      </c>
      <c r="F66" s="23">
        <v>4.8611111111111112E-3</v>
      </c>
      <c r="G66" s="23">
        <v>2.4305555555555556E-2</v>
      </c>
      <c r="H66" s="23">
        <v>0.41041666666666682</v>
      </c>
      <c r="I66" s="23">
        <v>0</v>
      </c>
      <c r="J66" s="23"/>
      <c r="K66" s="23">
        <v>0.38611111111111124</v>
      </c>
      <c r="L66" s="30">
        <v>2.430555555555558E-2</v>
      </c>
      <c r="M66" s="74" t="s">
        <v>112</v>
      </c>
      <c r="N66" s="79">
        <v>1</v>
      </c>
    </row>
    <row r="67" spans="1:14" hidden="1" x14ac:dyDescent="0.35">
      <c r="A67"/>
      <c r="B67" t="s">
        <v>109</v>
      </c>
      <c r="C67" s="28">
        <v>2</v>
      </c>
      <c r="D67" s="23">
        <v>0.38611111111111124</v>
      </c>
      <c r="E67" s="23">
        <v>4.8611111111110938E-3</v>
      </c>
      <c r="F67" s="23">
        <v>4.8611111111111112E-3</v>
      </c>
      <c r="G67" s="23">
        <v>2.4305555555555556E-2</v>
      </c>
      <c r="H67" s="23">
        <v>0.41041666666666682</v>
      </c>
      <c r="I67" s="23">
        <v>0</v>
      </c>
      <c r="J67" s="23"/>
      <c r="K67" s="23">
        <v>0.38611111111111124</v>
      </c>
      <c r="L67" s="30">
        <v>2.430555555555558E-2</v>
      </c>
      <c r="M67" s="74" t="s">
        <v>112</v>
      </c>
      <c r="N67" s="79">
        <v>1</v>
      </c>
    </row>
    <row r="68" spans="1:14" hidden="1" x14ac:dyDescent="0.35">
      <c r="A68" t="s">
        <v>70</v>
      </c>
      <c r="B68" t="s">
        <v>108</v>
      </c>
      <c r="C68" s="28">
        <v>5</v>
      </c>
      <c r="D68" s="23">
        <v>0.39097222222222233</v>
      </c>
      <c r="E68" s="23">
        <v>4.8611111111110938E-3</v>
      </c>
      <c r="F68" s="23">
        <v>4.8611111111111112E-3</v>
      </c>
      <c r="G68" s="23">
        <v>2.4305555555555556E-2</v>
      </c>
      <c r="H68" s="23">
        <v>0.41527777777777791</v>
      </c>
      <c r="I68" s="23">
        <v>0</v>
      </c>
      <c r="J68" s="23"/>
      <c r="K68" s="23">
        <v>0.39097222222222233</v>
      </c>
      <c r="L68" s="30">
        <v>2.430555555555558E-2</v>
      </c>
      <c r="M68" s="74" t="s">
        <v>114</v>
      </c>
      <c r="N68" s="79">
        <v>1</v>
      </c>
    </row>
    <row r="69" spans="1:14" hidden="1" x14ac:dyDescent="0.35">
      <c r="A69"/>
      <c r="B69" t="s">
        <v>109</v>
      </c>
      <c r="C69" s="28">
        <v>8</v>
      </c>
      <c r="D69" s="23">
        <v>0.39097222222222233</v>
      </c>
      <c r="E69" s="23">
        <v>4.8611111111110938E-3</v>
      </c>
      <c r="F69" s="23">
        <v>4.8611111111111112E-3</v>
      </c>
      <c r="G69" s="23">
        <v>2.4305555555555556E-2</v>
      </c>
      <c r="H69" s="23">
        <v>0.41527777777777791</v>
      </c>
      <c r="I69" s="23">
        <v>0</v>
      </c>
      <c r="J69" s="23"/>
      <c r="K69" s="23">
        <v>0.39097222222222233</v>
      </c>
      <c r="L69" s="30">
        <v>2.430555555555558E-2</v>
      </c>
      <c r="M69" s="74" t="s">
        <v>114</v>
      </c>
      <c r="N69" s="79">
        <v>1</v>
      </c>
    </row>
    <row r="70" spans="1:14" hidden="1" x14ac:dyDescent="0.35">
      <c r="A70"/>
      <c r="B70" t="s">
        <v>108</v>
      </c>
      <c r="C70" s="28">
        <v>6</v>
      </c>
      <c r="D70" s="23">
        <v>0.39583333333333348</v>
      </c>
      <c r="E70" s="23">
        <v>4.8611111111111494E-3</v>
      </c>
      <c r="F70" s="23">
        <v>4.8611111111111112E-3</v>
      </c>
      <c r="G70" s="23">
        <v>2.4305555555555556E-2</v>
      </c>
      <c r="H70" s="23">
        <v>0.42013888888888906</v>
      </c>
      <c r="I70" s="23">
        <v>0</v>
      </c>
      <c r="J70" s="23"/>
      <c r="K70" s="23">
        <v>0.39583333333333348</v>
      </c>
      <c r="L70" s="30">
        <v>2.430555555555558E-2</v>
      </c>
      <c r="M70" s="74" t="s">
        <v>112</v>
      </c>
      <c r="N70" s="79">
        <v>1</v>
      </c>
    </row>
    <row r="71" spans="1:14" hidden="1" x14ac:dyDescent="0.35">
      <c r="A71"/>
      <c r="B71" t="s">
        <v>109</v>
      </c>
      <c r="C71" s="28">
        <v>3</v>
      </c>
      <c r="D71" s="23">
        <v>0.39791666666666664</v>
      </c>
      <c r="E71" s="23">
        <v>6.9444444444443088E-3</v>
      </c>
      <c r="F71" s="23">
        <v>6.9444444444444441E-3</v>
      </c>
      <c r="G71" s="23">
        <v>2.4305555555555556E-2</v>
      </c>
      <c r="H71" s="23">
        <v>0.42222222222222222</v>
      </c>
      <c r="I71" s="23">
        <v>0</v>
      </c>
      <c r="J71" s="23">
        <v>2.0833333333333333E-3</v>
      </c>
      <c r="K71" s="23">
        <v>0.39791666666666664</v>
      </c>
      <c r="L71" s="30">
        <v>2.6388888888888913E-2</v>
      </c>
      <c r="M71" s="74" t="s">
        <v>112</v>
      </c>
      <c r="N71" s="79">
        <v>1</v>
      </c>
    </row>
    <row r="72" spans="1:14" hidden="1" x14ac:dyDescent="0.35">
      <c r="A72"/>
      <c r="B72" t="s">
        <v>108</v>
      </c>
      <c r="C72" s="28">
        <v>7</v>
      </c>
      <c r="D72" s="23">
        <v>0.40069444444444458</v>
      </c>
      <c r="E72" s="23">
        <v>4.8611111111110938E-3</v>
      </c>
      <c r="F72" s="23">
        <v>4.8611111111111112E-3</v>
      </c>
      <c r="G72" s="23">
        <v>2.4305555555555556E-2</v>
      </c>
      <c r="H72" s="23">
        <v>0.42500000000000016</v>
      </c>
      <c r="I72" s="23">
        <v>0</v>
      </c>
      <c r="J72" s="23"/>
      <c r="K72" s="23">
        <v>0.40069444444444458</v>
      </c>
      <c r="L72" s="30">
        <v>2.430555555555558E-2</v>
      </c>
      <c r="M72" s="74" t="s">
        <v>112</v>
      </c>
      <c r="N72" s="79">
        <v>1</v>
      </c>
    </row>
    <row r="73" spans="1:14" hidden="1" x14ac:dyDescent="0.35">
      <c r="A73"/>
      <c r="B73" t="s">
        <v>108</v>
      </c>
      <c r="C73" s="28">
        <v>1</v>
      </c>
      <c r="D73" s="23">
        <v>0.40555555555555572</v>
      </c>
      <c r="E73" s="23">
        <v>4.8611111111111494E-3</v>
      </c>
      <c r="F73" s="23">
        <v>4.8611111111111112E-3</v>
      </c>
      <c r="G73" s="23">
        <v>2.4305555555555556E-2</v>
      </c>
      <c r="H73" s="23">
        <v>0.4298611111111113</v>
      </c>
      <c r="I73" s="23">
        <v>0</v>
      </c>
      <c r="J73" s="23"/>
      <c r="K73" s="23">
        <v>0.40555555555555572</v>
      </c>
      <c r="L73" s="30">
        <v>2.430555555555558E-2</v>
      </c>
      <c r="M73" s="77" t="s">
        <v>112</v>
      </c>
      <c r="N73" s="79">
        <v>1</v>
      </c>
    </row>
    <row r="74" spans="1:14" hidden="1" x14ac:dyDescent="0.35">
      <c r="A74"/>
      <c r="B74" t="s">
        <v>109</v>
      </c>
      <c r="C74" s="28">
        <v>4</v>
      </c>
      <c r="D74" s="23">
        <v>0.40555555555555572</v>
      </c>
      <c r="E74" s="23">
        <v>7.6388888888890838E-3</v>
      </c>
      <c r="F74" s="23">
        <v>6.9444444444444441E-3</v>
      </c>
      <c r="G74" s="23">
        <v>2.4305555555555556E-2</v>
      </c>
      <c r="H74" s="23">
        <v>0.4298611111111113</v>
      </c>
      <c r="I74" s="23">
        <v>-6.9444444444466402E-4</v>
      </c>
      <c r="J74" s="23"/>
      <c r="K74" s="23">
        <v>0.40486111111111106</v>
      </c>
      <c r="L74" s="30">
        <v>2.430555555555558E-2</v>
      </c>
      <c r="M74" s="74" t="s">
        <v>112</v>
      </c>
      <c r="N74" s="79">
        <v>1</v>
      </c>
    </row>
    <row r="75" spans="1:14" hidden="1" x14ac:dyDescent="0.35">
      <c r="A75"/>
      <c r="B75" t="s">
        <v>108</v>
      </c>
      <c r="C75" s="28">
        <v>2</v>
      </c>
      <c r="D75" s="23">
        <v>0.41041666666666682</v>
      </c>
      <c r="E75" s="23">
        <v>4.8611111111110938E-3</v>
      </c>
      <c r="F75" s="23">
        <v>4.8611111111111112E-3</v>
      </c>
      <c r="G75" s="23">
        <v>2.4305555555555556E-2</v>
      </c>
      <c r="H75" s="23">
        <v>0.4347222222222224</v>
      </c>
      <c r="I75" s="23">
        <v>0</v>
      </c>
      <c r="J75" s="23"/>
      <c r="K75" s="23">
        <v>0.41041666666666682</v>
      </c>
      <c r="L75" s="30">
        <v>2.430555555555558E-2</v>
      </c>
      <c r="M75" s="74" t="s">
        <v>112</v>
      </c>
      <c r="N75" s="79">
        <v>1</v>
      </c>
    </row>
    <row r="76" spans="1:14" x14ac:dyDescent="0.35">
      <c r="A76"/>
      <c r="B76" t="s">
        <v>109</v>
      </c>
      <c r="C76" s="28">
        <v>10</v>
      </c>
      <c r="D76" s="23">
        <v>0.41249999999999998</v>
      </c>
      <c r="E76" s="23">
        <v>6.9444444444442532E-3</v>
      </c>
      <c r="F76" s="23">
        <v>6.9444444444444441E-3</v>
      </c>
      <c r="G76" s="23">
        <v>2.4305555555555556E-2</v>
      </c>
      <c r="H76" s="23">
        <v>0.43680555555555556</v>
      </c>
      <c r="I76" s="23">
        <v>0</v>
      </c>
      <c r="J76" s="23">
        <v>2.0833333333333333E-3</v>
      </c>
      <c r="K76" s="23">
        <v>0.41249999999999998</v>
      </c>
      <c r="L76" s="30">
        <v>2.6388888888888913E-2</v>
      </c>
      <c r="M76" s="74" t="s">
        <v>112</v>
      </c>
      <c r="N76" s="79">
        <v>1</v>
      </c>
    </row>
    <row r="77" spans="1:14" hidden="1" x14ac:dyDescent="0.35">
      <c r="A77" t="s">
        <v>70</v>
      </c>
      <c r="B77" t="s">
        <v>108</v>
      </c>
      <c r="C77" s="28">
        <v>8</v>
      </c>
      <c r="D77" s="23">
        <v>0.41527777777777791</v>
      </c>
      <c r="E77" s="23">
        <v>4.8611111111110938E-3</v>
      </c>
      <c r="F77" s="23">
        <v>4.8611111111111112E-3</v>
      </c>
      <c r="G77" s="23">
        <v>2.4305555555555556E-2</v>
      </c>
      <c r="H77" s="23">
        <v>0.43958333333333349</v>
      </c>
      <c r="I77" s="23">
        <v>0</v>
      </c>
      <c r="J77" s="23"/>
      <c r="K77" s="23">
        <v>0.41527777777777791</v>
      </c>
      <c r="L77" s="30">
        <v>2.430555555555558E-2</v>
      </c>
      <c r="M77" s="74" t="s">
        <v>114</v>
      </c>
      <c r="N77" s="79">
        <v>1</v>
      </c>
    </row>
    <row r="78" spans="1:14" hidden="1" x14ac:dyDescent="0.35">
      <c r="A78"/>
      <c r="B78" t="s">
        <v>109</v>
      </c>
      <c r="C78" s="28">
        <v>6</v>
      </c>
      <c r="D78" s="23">
        <v>0.42013888888888906</v>
      </c>
      <c r="E78" s="23">
        <v>7.6388888888890838E-3</v>
      </c>
      <c r="F78" s="23">
        <v>6.9444444444444441E-3</v>
      </c>
      <c r="G78" s="23">
        <v>2.4305555555555556E-2</v>
      </c>
      <c r="H78" s="23">
        <v>0.44444444444444464</v>
      </c>
      <c r="I78" s="23">
        <v>-6.9444444444466402E-4</v>
      </c>
      <c r="J78" s="23"/>
      <c r="K78" s="23">
        <v>0.4194444444444444</v>
      </c>
      <c r="L78" s="30">
        <v>2.430555555555558E-2</v>
      </c>
      <c r="M78" s="74" t="s">
        <v>112</v>
      </c>
      <c r="N78" s="79">
        <v>1</v>
      </c>
    </row>
    <row r="79" spans="1:14" hidden="1" x14ac:dyDescent="0.35">
      <c r="A79"/>
      <c r="B79" t="s">
        <v>108</v>
      </c>
      <c r="C79" s="28">
        <v>3</v>
      </c>
      <c r="D79" s="23">
        <v>0.42222222222222222</v>
      </c>
      <c r="E79" s="23">
        <v>6.9444444444443088E-3</v>
      </c>
      <c r="F79" s="23">
        <v>6.9444444444444441E-3</v>
      </c>
      <c r="G79" s="23">
        <v>2.4305555555555556E-2</v>
      </c>
      <c r="H79" s="23">
        <v>0.4465277777777778</v>
      </c>
      <c r="I79" s="23">
        <v>0</v>
      </c>
      <c r="J79" s="23"/>
      <c r="K79" s="23">
        <v>0.42222222222222222</v>
      </c>
      <c r="L79" s="30">
        <v>2.430555555555558E-2</v>
      </c>
      <c r="M79" s="74" t="s">
        <v>112</v>
      </c>
      <c r="N79" s="79">
        <v>1</v>
      </c>
    </row>
    <row r="80" spans="1:14" hidden="1" x14ac:dyDescent="0.35">
      <c r="A80"/>
      <c r="B80" t="s">
        <v>109</v>
      </c>
      <c r="C80" s="28">
        <v>7</v>
      </c>
      <c r="D80" s="23">
        <v>0.42708333333333331</v>
      </c>
      <c r="E80" s="23">
        <v>6.9444444444442532E-3</v>
      </c>
      <c r="F80" s="23">
        <v>6.9444444444444441E-3</v>
      </c>
      <c r="G80" s="23">
        <v>2.4305555555555556E-2</v>
      </c>
      <c r="H80" s="23">
        <v>0.4513888888888889</v>
      </c>
      <c r="I80" s="23">
        <v>0</v>
      </c>
      <c r="J80" s="23">
        <v>2.0833333333333333E-3</v>
      </c>
      <c r="K80" s="23">
        <v>0.42708333333333331</v>
      </c>
      <c r="L80" s="30">
        <v>2.6388888888888913E-2</v>
      </c>
      <c r="M80" s="74" t="s">
        <v>112</v>
      </c>
      <c r="N80" s="79">
        <v>1</v>
      </c>
    </row>
    <row r="81" spans="1:14" hidden="1" x14ac:dyDescent="0.35">
      <c r="A81"/>
      <c r="B81" t="s">
        <v>108</v>
      </c>
      <c r="C81" s="28">
        <v>4</v>
      </c>
      <c r="D81" s="23">
        <v>0.4298611111111113</v>
      </c>
      <c r="E81" s="23">
        <v>7.6388888888890838E-3</v>
      </c>
      <c r="F81" s="23">
        <v>6.9444444444444441E-3</v>
      </c>
      <c r="G81" s="23">
        <v>2.4305555555555556E-2</v>
      </c>
      <c r="H81" s="23">
        <v>0.45416666666666689</v>
      </c>
      <c r="I81" s="23">
        <v>-6.9444444444466402E-4</v>
      </c>
      <c r="J81" s="23"/>
      <c r="K81" s="23">
        <v>0.42916666666666664</v>
      </c>
      <c r="L81" s="30">
        <v>2.430555555555558E-2</v>
      </c>
      <c r="M81" s="74" t="s">
        <v>112</v>
      </c>
      <c r="N81" s="79">
        <v>1</v>
      </c>
    </row>
    <row r="82" spans="1:14" hidden="1" x14ac:dyDescent="0.35">
      <c r="B82" t="s">
        <v>109</v>
      </c>
      <c r="C82" s="28">
        <v>1</v>
      </c>
      <c r="D82" s="23">
        <v>0.43333333333333335</v>
      </c>
      <c r="E82" s="23">
        <v>6.2500000000000333E-3</v>
      </c>
      <c r="F82" s="23">
        <v>6.9444444444444441E-3</v>
      </c>
      <c r="G82" s="23">
        <v>2.4305555555555556E-2</v>
      </c>
      <c r="H82" s="23">
        <v>0.45763888888888893</v>
      </c>
      <c r="I82" s="23">
        <v>6.9444444444438647E-4</v>
      </c>
      <c r="J82" s="23">
        <v>3.472222222222222E-3</v>
      </c>
      <c r="K82" s="23">
        <v>0.43402777777777773</v>
      </c>
      <c r="L82" s="30">
        <v>2.7777777777777804E-2</v>
      </c>
      <c r="M82" s="77" t="s">
        <v>112</v>
      </c>
      <c r="N82" s="79">
        <v>1</v>
      </c>
    </row>
    <row r="83" spans="1:14" x14ac:dyDescent="0.35">
      <c r="A83"/>
      <c r="B83" t="s">
        <v>108</v>
      </c>
      <c r="C83" s="28">
        <v>10</v>
      </c>
      <c r="D83" s="23">
        <v>0.43680555555555556</v>
      </c>
      <c r="E83" s="23">
        <v>6.9444444444442532E-3</v>
      </c>
      <c r="F83" s="23">
        <v>6.9444444444444441E-3</v>
      </c>
      <c r="G83" s="23">
        <v>2.4305555555555556E-2</v>
      </c>
      <c r="H83" s="23">
        <v>0.46111111111111114</v>
      </c>
      <c r="I83" s="23">
        <v>0</v>
      </c>
      <c r="J83" s="23"/>
      <c r="K83" s="23">
        <v>0.43680555555555556</v>
      </c>
      <c r="L83" s="30">
        <v>2.430555555555558E-2</v>
      </c>
      <c r="M83" s="74" t="s">
        <v>112</v>
      </c>
      <c r="N83" s="79">
        <v>1</v>
      </c>
    </row>
    <row r="84" spans="1:14" hidden="1" x14ac:dyDescent="0.35">
      <c r="A84"/>
      <c r="B84" t="s">
        <v>109</v>
      </c>
      <c r="C84" s="28">
        <v>2</v>
      </c>
      <c r="D84" s="23">
        <v>0.44027777777777777</v>
      </c>
      <c r="E84" s="23">
        <v>6.9444444444444198E-3</v>
      </c>
      <c r="F84" s="23">
        <v>6.9444444444444441E-3</v>
      </c>
      <c r="G84" s="23">
        <v>2.4305555555555556E-2</v>
      </c>
      <c r="H84" s="23">
        <v>0.46458333333333335</v>
      </c>
      <c r="I84" s="23">
        <v>0</v>
      </c>
      <c r="J84" s="23">
        <v>5.5555555555555558E-3</v>
      </c>
      <c r="K84" s="23">
        <v>0.44027777777777777</v>
      </c>
      <c r="L84" s="30">
        <v>2.9861111111111137E-2</v>
      </c>
      <c r="M84" s="74" t="s">
        <v>112</v>
      </c>
      <c r="N84" s="79">
        <v>1</v>
      </c>
    </row>
    <row r="85" spans="1:14" hidden="1" x14ac:dyDescent="0.35">
      <c r="A85"/>
      <c r="B85" t="s">
        <v>108</v>
      </c>
      <c r="C85" s="28">
        <v>6</v>
      </c>
      <c r="D85" s="23">
        <v>0.44444444444444464</v>
      </c>
      <c r="E85" s="23">
        <v>7.6388888888890838E-3</v>
      </c>
      <c r="F85" s="23">
        <v>6.9444444444444441E-3</v>
      </c>
      <c r="G85" s="23">
        <v>2.4305555555555556E-2</v>
      </c>
      <c r="H85" s="23">
        <v>0.46875000000000022</v>
      </c>
      <c r="I85" s="23">
        <v>-6.9444444444466402E-4</v>
      </c>
      <c r="J85" s="23"/>
      <c r="K85" s="23">
        <v>0.44374999999999998</v>
      </c>
      <c r="L85" s="30">
        <v>2.430555555555558E-2</v>
      </c>
      <c r="M85" s="74" t="s">
        <v>112</v>
      </c>
      <c r="N85" s="79">
        <v>1</v>
      </c>
    </row>
    <row r="86" spans="1:14" hidden="1" x14ac:dyDescent="0.35">
      <c r="A86"/>
      <c r="B86" t="s">
        <v>109</v>
      </c>
      <c r="C86" s="28">
        <v>3</v>
      </c>
      <c r="D86" s="23">
        <v>0.44722222222222224</v>
      </c>
      <c r="E86" s="23">
        <v>6.9444444444444753E-3</v>
      </c>
      <c r="F86" s="23">
        <v>6.9444444444444441E-3</v>
      </c>
      <c r="G86" s="23">
        <v>2.4305555555555556E-2</v>
      </c>
      <c r="H86" s="23">
        <v>0.47152777777777782</v>
      </c>
      <c r="I86" s="23">
        <v>0</v>
      </c>
      <c r="J86" s="23">
        <v>6.9444444444444447E-4</v>
      </c>
      <c r="K86" s="23">
        <v>0.44722222222222224</v>
      </c>
      <c r="L86" s="30">
        <v>2.5000000000000026E-2</v>
      </c>
      <c r="M86" s="74" t="s">
        <v>112</v>
      </c>
      <c r="N86" s="79">
        <v>1</v>
      </c>
    </row>
    <row r="87" spans="1:14" hidden="1" x14ac:dyDescent="0.35">
      <c r="A87" s="28"/>
      <c r="B87" s="23" t="s">
        <v>108</v>
      </c>
      <c r="C87" s="28">
        <v>7</v>
      </c>
      <c r="D87" s="23">
        <v>0.4513888888888889</v>
      </c>
      <c r="E87" s="23">
        <v>6.9444444444442532E-3</v>
      </c>
      <c r="F87" s="23">
        <v>6.9444444444444441E-3</v>
      </c>
      <c r="G87" s="23">
        <v>2.4305555555555556E-2</v>
      </c>
      <c r="H87" s="23">
        <v>0.47569444444444448</v>
      </c>
      <c r="I87" s="23">
        <v>0</v>
      </c>
      <c r="J87" s="23"/>
      <c r="K87" s="23">
        <v>0.4513888888888889</v>
      </c>
      <c r="L87" s="30">
        <v>2.430555555555558E-2</v>
      </c>
      <c r="M87" s="74" t="s">
        <v>112</v>
      </c>
      <c r="N87" s="79">
        <v>1</v>
      </c>
    </row>
    <row r="88" spans="1:14" hidden="1" x14ac:dyDescent="0.35">
      <c r="A88"/>
      <c r="B88" t="s">
        <v>109</v>
      </c>
      <c r="C88" s="28">
        <v>4</v>
      </c>
      <c r="D88" s="23">
        <v>0.45416666666666689</v>
      </c>
      <c r="E88" s="23">
        <v>6.9444444444446418E-3</v>
      </c>
      <c r="F88" s="23">
        <v>6.9444444444444441E-3</v>
      </c>
      <c r="G88" s="23">
        <v>2.4305555555555556E-2</v>
      </c>
      <c r="H88" s="23">
        <v>0.47847222222222247</v>
      </c>
      <c r="I88" s="23">
        <v>0</v>
      </c>
      <c r="J88" s="23"/>
      <c r="K88" s="23">
        <v>0.45416666666666689</v>
      </c>
      <c r="L88" s="30">
        <v>2.430555555555558E-2</v>
      </c>
      <c r="M88" s="74" t="s">
        <v>112</v>
      </c>
      <c r="N88" s="79">
        <v>1</v>
      </c>
    </row>
    <row r="89" spans="1:14" hidden="1" x14ac:dyDescent="0.35">
      <c r="A89"/>
      <c r="B89" t="s">
        <v>108</v>
      </c>
      <c r="C89" s="28">
        <v>1</v>
      </c>
      <c r="D89" s="23">
        <v>0.45763888888888893</v>
      </c>
      <c r="E89" s="23">
        <v>6.2500000000000333E-3</v>
      </c>
      <c r="F89" s="23">
        <v>6.9444444444444441E-3</v>
      </c>
      <c r="G89" s="23">
        <v>2.4305555555555556E-2</v>
      </c>
      <c r="H89" s="23">
        <v>0.48194444444444451</v>
      </c>
      <c r="I89" s="23">
        <v>6.9444444444438647E-4</v>
      </c>
      <c r="J89" s="23"/>
      <c r="K89" s="23">
        <v>0.45833333333333331</v>
      </c>
      <c r="L89" s="30">
        <v>2.430555555555558E-2</v>
      </c>
      <c r="M89" s="77" t="s">
        <v>112</v>
      </c>
      <c r="N89" s="79">
        <v>1</v>
      </c>
    </row>
    <row r="90" spans="1:14" x14ac:dyDescent="0.35">
      <c r="A90"/>
      <c r="B90" s="28" t="s">
        <v>109</v>
      </c>
      <c r="C90" s="28">
        <v>10</v>
      </c>
      <c r="D90" s="23">
        <v>0.46111111111111114</v>
      </c>
      <c r="E90" s="23">
        <v>6.9444444444442532E-3</v>
      </c>
      <c r="F90" s="23">
        <v>6.9444444444444441E-3</v>
      </c>
      <c r="G90" s="23">
        <v>2.4305555555555556E-2</v>
      </c>
      <c r="H90" s="23">
        <v>0.48541666666666672</v>
      </c>
      <c r="I90" s="23">
        <v>0</v>
      </c>
      <c r="J90" s="23"/>
      <c r="K90" s="23">
        <v>0.46111111111111114</v>
      </c>
      <c r="L90" s="30">
        <v>2.430555555555558E-2</v>
      </c>
      <c r="M90" s="74" t="s">
        <v>112</v>
      </c>
      <c r="N90" s="79">
        <v>1</v>
      </c>
    </row>
    <row r="91" spans="1:14" hidden="1" x14ac:dyDescent="0.35">
      <c r="A91"/>
      <c r="B91" t="s">
        <v>108</v>
      </c>
      <c r="C91" s="28">
        <v>2</v>
      </c>
      <c r="D91" s="23">
        <v>0.46458333333333335</v>
      </c>
      <c r="E91" s="23">
        <v>6.9444444444444198E-3</v>
      </c>
      <c r="F91" s="23">
        <v>6.9444444444444441E-3</v>
      </c>
      <c r="G91" s="23">
        <v>2.4305555555555556E-2</v>
      </c>
      <c r="H91" s="23">
        <v>0.48888888888888893</v>
      </c>
      <c r="I91" s="23">
        <v>0</v>
      </c>
      <c r="J91" s="23"/>
      <c r="K91" s="23">
        <v>0.46458333333333335</v>
      </c>
      <c r="L91" s="30">
        <v>2.430555555555558E-2</v>
      </c>
      <c r="M91" s="74" t="s">
        <v>112</v>
      </c>
      <c r="N91" s="79">
        <v>1</v>
      </c>
    </row>
    <row r="92" spans="1:14" hidden="1" x14ac:dyDescent="0.35">
      <c r="A92"/>
      <c r="B92" t="s">
        <v>109</v>
      </c>
      <c r="C92" s="28">
        <v>6</v>
      </c>
      <c r="D92" s="23">
        <v>0.46875000000000022</v>
      </c>
      <c r="E92" s="23">
        <v>7.6388888888890838E-3</v>
      </c>
      <c r="F92" s="23">
        <v>6.9444444444444441E-3</v>
      </c>
      <c r="G92" s="23">
        <v>2.4305555555555556E-2</v>
      </c>
      <c r="H92" s="23">
        <v>0.4930555555555558</v>
      </c>
      <c r="I92" s="23">
        <v>-6.9444444444466402E-4</v>
      </c>
      <c r="J92" s="23"/>
      <c r="K92" s="23">
        <v>0.46805555555555556</v>
      </c>
      <c r="L92" s="30">
        <v>2.430555555555558E-2</v>
      </c>
      <c r="M92" s="74" t="s">
        <v>112</v>
      </c>
      <c r="N92" s="79">
        <v>1</v>
      </c>
    </row>
    <row r="93" spans="1:14" hidden="1" x14ac:dyDescent="0.35">
      <c r="A93"/>
      <c r="B93" t="s">
        <v>108</v>
      </c>
      <c r="C93" s="28">
        <v>3</v>
      </c>
      <c r="D93" s="23">
        <v>0.47152777777777782</v>
      </c>
      <c r="E93" s="23">
        <v>6.9444444444444753E-3</v>
      </c>
      <c r="F93" s="23">
        <v>6.9444444444444441E-3</v>
      </c>
      <c r="G93" s="23">
        <v>2.4305555555555556E-2</v>
      </c>
      <c r="H93" s="23">
        <v>0.4958333333333334</v>
      </c>
      <c r="I93" s="23">
        <v>0</v>
      </c>
      <c r="J93" s="23"/>
      <c r="K93" s="23">
        <v>0.47152777777777782</v>
      </c>
      <c r="L93" s="30">
        <v>2.430555555555558E-2</v>
      </c>
      <c r="M93" s="74" t="s">
        <v>112</v>
      </c>
      <c r="N93" s="79">
        <v>1</v>
      </c>
    </row>
    <row r="94" spans="1:14" hidden="1" x14ac:dyDescent="0.35">
      <c r="A94"/>
      <c r="B94" t="s">
        <v>109</v>
      </c>
      <c r="C94" s="28">
        <v>7</v>
      </c>
      <c r="D94" s="23">
        <v>0.47569444444444448</v>
      </c>
      <c r="E94" s="23">
        <v>6.9444444444442532E-3</v>
      </c>
      <c r="F94" s="23">
        <v>6.9444444444444441E-3</v>
      </c>
      <c r="G94" s="23">
        <v>2.4305555555555556E-2</v>
      </c>
      <c r="H94" s="23">
        <v>0.5</v>
      </c>
      <c r="I94" s="23">
        <v>0</v>
      </c>
      <c r="J94" s="23"/>
      <c r="K94" s="23">
        <v>0.47569444444444448</v>
      </c>
      <c r="L94" s="30">
        <v>2.4305555555555525E-2</v>
      </c>
      <c r="M94" s="74" t="s">
        <v>112</v>
      </c>
      <c r="N94" s="79">
        <v>1</v>
      </c>
    </row>
    <row r="95" spans="1:14" hidden="1" x14ac:dyDescent="0.35">
      <c r="A95"/>
      <c r="B95" t="s">
        <v>108</v>
      </c>
      <c r="C95" s="28">
        <v>4</v>
      </c>
      <c r="D95" s="23">
        <v>0.47847222222222247</v>
      </c>
      <c r="E95" s="23">
        <v>6.9444444444446418E-3</v>
      </c>
      <c r="F95" s="23">
        <v>6.9444444444444441E-3</v>
      </c>
      <c r="G95" s="23">
        <v>2.4305555555555556E-2</v>
      </c>
      <c r="H95" s="23">
        <v>0.50277777777777799</v>
      </c>
      <c r="I95" s="23">
        <v>0</v>
      </c>
      <c r="J95" s="23"/>
      <c r="K95" s="23">
        <v>0.47847222222222247</v>
      </c>
      <c r="L95" s="30">
        <v>2.4305555555555525E-2</v>
      </c>
      <c r="M95" s="74" t="s">
        <v>112</v>
      </c>
      <c r="N95" s="79">
        <v>1</v>
      </c>
    </row>
    <row r="96" spans="1:14" hidden="1" x14ac:dyDescent="0.35">
      <c r="A96"/>
      <c r="B96" t="s">
        <v>109</v>
      </c>
      <c r="C96" s="28">
        <v>1</v>
      </c>
      <c r="D96" s="23">
        <v>0.48194444444444451</v>
      </c>
      <c r="E96" s="23">
        <v>6.2500000000000333E-3</v>
      </c>
      <c r="F96" s="23">
        <v>6.9444444444444441E-3</v>
      </c>
      <c r="G96" s="23">
        <v>2.4305555555555556E-2</v>
      </c>
      <c r="H96" s="23">
        <v>0.50625000000000009</v>
      </c>
      <c r="I96" s="23">
        <v>6.9444444444438647E-4</v>
      </c>
      <c r="J96" s="23"/>
      <c r="K96" s="23">
        <v>0.4826388888888889</v>
      </c>
      <c r="L96" s="30">
        <v>2.430555555555558E-2</v>
      </c>
      <c r="M96" s="77" t="s">
        <v>112</v>
      </c>
      <c r="N96" s="79">
        <v>1</v>
      </c>
    </row>
    <row r="97" spans="1:14" x14ac:dyDescent="0.35">
      <c r="A97"/>
      <c r="B97" t="s">
        <v>108</v>
      </c>
      <c r="C97" s="28">
        <v>10</v>
      </c>
      <c r="D97" s="23">
        <v>0.48541666666666672</v>
      </c>
      <c r="E97" s="23">
        <v>6.9444444444442532E-3</v>
      </c>
      <c r="F97" s="23">
        <v>6.9444444444444441E-3</v>
      </c>
      <c r="G97" s="23">
        <v>2.4305555555555556E-2</v>
      </c>
      <c r="H97" s="23">
        <v>0.5097222222222223</v>
      </c>
      <c r="I97" s="23">
        <v>0</v>
      </c>
      <c r="J97" s="23"/>
      <c r="K97" s="23">
        <v>0.48541666666666672</v>
      </c>
      <c r="L97" s="30">
        <v>2.430555555555558E-2</v>
      </c>
      <c r="M97" s="74" t="s">
        <v>112</v>
      </c>
      <c r="N97" s="79">
        <v>1</v>
      </c>
    </row>
    <row r="98" spans="1:14" hidden="1" x14ac:dyDescent="0.35">
      <c r="A98"/>
      <c r="B98" t="s">
        <v>109</v>
      </c>
      <c r="C98" s="28">
        <v>2</v>
      </c>
      <c r="D98" s="23">
        <v>0.48888888888888893</v>
      </c>
      <c r="E98" s="23">
        <v>6.9444444444444198E-3</v>
      </c>
      <c r="F98" s="23">
        <v>6.9444444444444441E-3</v>
      </c>
      <c r="G98" s="23">
        <v>2.4305555555555556E-2</v>
      </c>
      <c r="H98" s="23">
        <v>0.51319444444444451</v>
      </c>
      <c r="I98" s="23">
        <v>0</v>
      </c>
      <c r="J98" s="23"/>
      <c r="K98" s="23">
        <v>0.48888888888888893</v>
      </c>
      <c r="L98" s="30">
        <v>2.430555555555558E-2</v>
      </c>
      <c r="M98" s="74" t="s">
        <v>112</v>
      </c>
      <c r="N98" s="79">
        <v>1</v>
      </c>
    </row>
    <row r="99" spans="1:14" hidden="1" x14ac:dyDescent="0.35">
      <c r="A99"/>
      <c r="B99" t="s">
        <v>108</v>
      </c>
      <c r="C99" s="28">
        <v>6</v>
      </c>
      <c r="D99" s="23">
        <v>0.4930555555555558</v>
      </c>
      <c r="E99" s="23">
        <v>7.6388888888890838E-3</v>
      </c>
      <c r="F99" s="23">
        <v>6.9444444444444441E-3</v>
      </c>
      <c r="G99" s="23">
        <v>2.4305555555555556E-2</v>
      </c>
      <c r="H99" s="23">
        <v>0.51736111111111138</v>
      </c>
      <c r="I99" s="23">
        <v>-6.9444444444466402E-4</v>
      </c>
      <c r="J99" s="23"/>
      <c r="K99" s="23">
        <v>0.49236111111111114</v>
      </c>
      <c r="L99" s="30">
        <v>2.430555555555558E-2</v>
      </c>
      <c r="M99" s="74" t="s">
        <v>112</v>
      </c>
      <c r="N99" s="79">
        <v>1</v>
      </c>
    </row>
    <row r="100" spans="1:14" hidden="1" x14ac:dyDescent="0.35">
      <c r="A100"/>
      <c r="B100" t="s">
        <v>109</v>
      </c>
      <c r="C100" s="28">
        <v>3</v>
      </c>
      <c r="D100" s="23">
        <v>0.4958333333333334</v>
      </c>
      <c r="E100" s="23">
        <v>6.9444444444444753E-3</v>
      </c>
      <c r="F100" s="23">
        <v>6.9444444444444441E-3</v>
      </c>
      <c r="G100" s="23">
        <v>2.4305555555555556E-2</v>
      </c>
      <c r="H100" s="23">
        <v>0.52013888888888893</v>
      </c>
      <c r="I100" s="23">
        <v>0</v>
      </c>
      <c r="J100" s="23"/>
      <c r="K100" s="23">
        <v>0.4958333333333334</v>
      </c>
      <c r="L100" s="30">
        <v>2.4305555555555525E-2</v>
      </c>
      <c r="M100" s="74" t="s">
        <v>112</v>
      </c>
      <c r="N100" s="79">
        <v>1</v>
      </c>
    </row>
    <row r="101" spans="1:14" hidden="1" x14ac:dyDescent="0.35">
      <c r="A101"/>
      <c r="B101" t="s">
        <v>108</v>
      </c>
      <c r="C101" s="28">
        <v>7</v>
      </c>
      <c r="D101" s="23">
        <v>0.5</v>
      </c>
      <c r="E101" s="23">
        <v>6.9444444444441977E-3</v>
      </c>
      <c r="F101" s="23">
        <v>6.9444444444444441E-3</v>
      </c>
      <c r="G101" s="23">
        <v>2.4305555555555556E-2</v>
      </c>
      <c r="H101" s="23">
        <v>0.52430555555555558</v>
      </c>
      <c r="I101" s="23">
        <v>0</v>
      </c>
      <c r="J101" s="23"/>
      <c r="K101" s="23">
        <v>0.5</v>
      </c>
      <c r="L101" s="30">
        <v>2.430555555555558E-2</v>
      </c>
      <c r="M101" s="74" t="s">
        <v>112</v>
      </c>
      <c r="N101" s="79">
        <v>1</v>
      </c>
    </row>
    <row r="102" spans="1:14" hidden="1" x14ac:dyDescent="0.35">
      <c r="A102"/>
      <c r="B102" t="s">
        <v>109</v>
      </c>
      <c r="C102" s="28">
        <v>4</v>
      </c>
      <c r="D102" s="23">
        <v>0.50277777777777799</v>
      </c>
      <c r="E102" s="23">
        <v>6.9444444444445863E-3</v>
      </c>
      <c r="F102" s="23">
        <v>6.9444444444444441E-3</v>
      </c>
      <c r="G102" s="23">
        <v>2.4305555555555556E-2</v>
      </c>
      <c r="H102" s="23">
        <v>0.52708333333333357</v>
      </c>
      <c r="I102" s="23">
        <v>0</v>
      </c>
      <c r="J102" s="23"/>
      <c r="K102" s="23">
        <v>0.50277777777777799</v>
      </c>
      <c r="L102" s="30">
        <v>2.430555555555558E-2</v>
      </c>
      <c r="M102" s="74" t="s">
        <v>112</v>
      </c>
      <c r="N102" s="79">
        <v>1</v>
      </c>
    </row>
    <row r="103" spans="1:14" hidden="1" x14ac:dyDescent="0.35">
      <c r="A103" t="s">
        <v>113</v>
      </c>
      <c r="B103" t="s">
        <v>108</v>
      </c>
      <c r="C103" s="28">
        <v>1</v>
      </c>
      <c r="D103" s="23">
        <v>0.50625000000000009</v>
      </c>
      <c r="E103" s="23">
        <v>6.2500000000000888E-3</v>
      </c>
      <c r="F103" s="23">
        <v>6.9444444444444441E-3</v>
      </c>
      <c r="G103" s="23">
        <v>2.4305555555555556E-2</v>
      </c>
      <c r="H103" s="23">
        <v>0.53055555555555567</v>
      </c>
      <c r="I103" s="23">
        <v>6.9444444444433095E-4</v>
      </c>
      <c r="J103" s="23"/>
      <c r="K103" s="23">
        <v>0.50694444444444442</v>
      </c>
      <c r="L103" s="30">
        <v>2.430555555555558E-2</v>
      </c>
      <c r="M103" s="77" t="s">
        <v>112</v>
      </c>
      <c r="N103" s="79">
        <v>1</v>
      </c>
    </row>
    <row r="104" spans="1:14" x14ac:dyDescent="0.35">
      <c r="A104"/>
      <c r="B104" t="s">
        <v>109</v>
      </c>
      <c r="C104" s="28">
        <v>10</v>
      </c>
      <c r="D104" s="23">
        <v>0.5097222222222223</v>
      </c>
      <c r="E104" s="23">
        <v>6.9444444444443088E-3</v>
      </c>
      <c r="F104" s="23">
        <v>6.9444444444444441E-3</v>
      </c>
      <c r="G104" s="23">
        <v>2.4305555555555556E-2</v>
      </c>
      <c r="H104" s="23">
        <v>0.53402777777777788</v>
      </c>
      <c r="I104" s="23">
        <v>0</v>
      </c>
      <c r="J104" s="23"/>
      <c r="K104" s="23">
        <v>0.5097222222222223</v>
      </c>
      <c r="L104" s="30">
        <v>2.430555555555558E-2</v>
      </c>
      <c r="M104" s="74" t="s">
        <v>112</v>
      </c>
      <c r="N104" s="79">
        <v>1</v>
      </c>
    </row>
    <row r="105" spans="1:14" hidden="1" x14ac:dyDescent="0.35">
      <c r="A105" t="s">
        <v>113</v>
      </c>
      <c r="B105" t="s">
        <v>108</v>
      </c>
      <c r="C105" s="28">
        <v>2</v>
      </c>
      <c r="D105" s="23">
        <v>0.51319444444444451</v>
      </c>
      <c r="E105" s="23">
        <v>6.9444444444444198E-3</v>
      </c>
      <c r="F105" s="23">
        <v>6.9444444444444441E-3</v>
      </c>
      <c r="G105" s="23">
        <v>2.4305555555555556E-2</v>
      </c>
      <c r="H105" s="23">
        <v>0.53750000000000009</v>
      </c>
      <c r="I105" s="23">
        <v>0</v>
      </c>
      <c r="J105" s="23"/>
      <c r="K105" s="23">
        <v>0.51319444444444451</v>
      </c>
      <c r="L105" s="30">
        <v>2.430555555555558E-2</v>
      </c>
      <c r="M105" s="74" t="s">
        <v>112</v>
      </c>
      <c r="N105" s="79">
        <v>1</v>
      </c>
    </row>
    <row r="106" spans="1:14" hidden="1" x14ac:dyDescent="0.35">
      <c r="A106"/>
      <c r="B106" t="s">
        <v>109</v>
      </c>
      <c r="C106" s="28">
        <v>6</v>
      </c>
      <c r="D106" s="23">
        <v>0.51736111111111138</v>
      </c>
      <c r="E106" s="23">
        <v>7.6388888888890838E-3</v>
      </c>
      <c r="F106" s="23">
        <v>6.9444444444444441E-3</v>
      </c>
      <c r="G106" s="23">
        <v>2.4305555555555556E-2</v>
      </c>
      <c r="H106" s="23">
        <v>0.54166666666666696</v>
      </c>
      <c r="I106" s="23">
        <v>-6.9444444444466402E-4</v>
      </c>
      <c r="J106" s="23"/>
      <c r="K106" s="23">
        <v>0.51666666666666672</v>
      </c>
      <c r="L106" s="30">
        <v>2.430555555555558E-2</v>
      </c>
      <c r="M106" s="74" t="s">
        <v>112</v>
      </c>
      <c r="N106" s="79">
        <v>1</v>
      </c>
    </row>
    <row r="107" spans="1:14" hidden="1" x14ac:dyDescent="0.35">
      <c r="A107" t="s">
        <v>113</v>
      </c>
      <c r="B107" t="s">
        <v>108</v>
      </c>
      <c r="C107" s="28">
        <v>3</v>
      </c>
      <c r="D107" s="23">
        <v>0.52013888888888893</v>
      </c>
      <c r="E107" s="23">
        <v>6.9444444444444198E-3</v>
      </c>
      <c r="F107" s="23">
        <v>6.9444444444444441E-3</v>
      </c>
      <c r="G107" s="23">
        <v>2.4305555555555556E-2</v>
      </c>
      <c r="H107" s="23">
        <v>0.54444444444444451</v>
      </c>
      <c r="I107" s="23">
        <v>0</v>
      </c>
      <c r="J107" s="23"/>
      <c r="K107" s="23">
        <v>0.52013888888888893</v>
      </c>
      <c r="L107" s="30">
        <v>2.430555555555558E-2</v>
      </c>
      <c r="M107" s="74" t="s">
        <v>112</v>
      </c>
      <c r="N107" s="79">
        <v>1</v>
      </c>
    </row>
    <row r="108" spans="1:14" hidden="1" x14ac:dyDescent="0.35">
      <c r="A108"/>
      <c r="B108" t="s">
        <v>109</v>
      </c>
      <c r="C108" s="28">
        <v>7</v>
      </c>
      <c r="D108" s="23">
        <v>0.52430555555555558</v>
      </c>
      <c r="E108" s="23">
        <v>6.9444444444441977E-3</v>
      </c>
      <c r="F108" s="23">
        <v>6.9444444444444441E-3</v>
      </c>
      <c r="G108" s="23">
        <v>2.4305555555555556E-2</v>
      </c>
      <c r="H108" s="23">
        <v>0.54861111111111116</v>
      </c>
      <c r="I108" s="23">
        <v>0</v>
      </c>
      <c r="J108" s="23"/>
      <c r="K108" s="23">
        <v>0.52430555555555558</v>
      </c>
      <c r="L108" s="30">
        <v>2.430555555555558E-2</v>
      </c>
      <c r="M108" s="74" t="s">
        <v>112</v>
      </c>
      <c r="N108" s="79">
        <v>1</v>
      </c>
    </row>
    <row r="109" spans="1:14" hidden="1" x14ac:dyDescent="0.35">
      <c r="A109" t="s">
        <v>129</v>
      </c>
      <c r="B109" t="s">
        <v>108</v>
      </c>
      <c r="C109" s="28">
        <v>4</v>
      </c>
      <c r="D109" s="23">
        <v>0.52708333333333357</v>
      </c>
      <c r="E109" s="23">
        <v>6.9444444444446418E-3</v>
      </c>
      <c r="F109" s="23">
        <v>6.9444444444444441E-3</v>
      </c>
      <c r="G109" s="23">
        <v>2.4305555555555556E-2</v>
      </c>
      <c r="H109" s="23">
        <v>0.55138888888888915</v>
      </c>
      <c r="I109" s="23">
        <v>0</v>
      </c>
      <c r="J109" s="23"/>
      <c r="K109" s="23">
        <v>0.52708333333333357</v>
      </c>
      <c r="L109" s="30">
        <v>2.430555555555558E-2</v>
      </c>
      <c r="M109" s="74" t="s">
        <v>112</v>
      </c>
      <c r="N109" s="79">
        <v>1</v>
      </c>
    </row>
    <row r="110" spans="1:14" hidden="1" x14ac:dyDescent="0.35">
      <c r="A110"/>
      <c r="B110" t="s">
        <v>109</v>
      </c>
      <c r="C110" s="28">
        <v>1</v>
      </c>
      <c r="D110" s="23">
        <v>0.53055555555555567</v>
      </c>
      <c r="E110" s="23">
        <v>6.2500000000000888E-3</v>
      </c>
      <c r="F110" s="23">
        <v>6.9444444444444441E-3</v>
      </c>
      <c r="G110" s="23">
        <v>2.4305555555555556E-2</v>
      </c>
      <c r="H110" s="23">
        <v>0.55486111111111125</v>
      </c>
      <c r="I110" s="23">
        <v>6.9444444444433095E-4</v>
      </c>
      <c r="J110" s="23"/>
      <c r="K110" s="23">
        <v>0.53125</v>
      </c>
      <c r="L110" s="30">
        <v>2.430555555555558E-2</v>
      </c>
      <c r="M110" s="77" t="s">
        <v>112</v>
      </c>
      <c r="N110" s="79">
        <v>2</v>
      </c>
    </row>
    <row r="111" spans="1:14" x14ac:dyDescent="0.35">
      <c r="A111" t="s">
        <v>129</v>
      </c>
      <c r="B111" t="s">
        <v>108</v>
      </c>
      <c r="C111" s="28">
        <v>10</v>
      </c>
      <c r="D111" s="23">
        <v>0.53402777777777788</v>
      </c>
      <c r="E111" s="23">
        <v>6.9444444444443088E-3</v>
      </c>
      <c r="F111" s="23">
        <v>6.9444444444444441E-3</v>
      </c>
      <c r="G111" s="23">
        <v>2.4305555555555556E-2</v>
      </c>
      <c r="H111" s="23">
        <v>0.55833333333333346</v>
      </c>
      <c r="I111" s="23">
        <v>0</v>
      </c>
      <c r="J111" s="23"/>
      <c r="K111" s="23">
        <v>0.53402777777777788</v>
      </c>
      <c r="L111" s="30">
        <v>2.430555555555558E-2</v>
      </c>
      <c r="M111" s="74" t="s">
        <v>112</v>
      </c>
      <c r="N111" s="79">
        <v>1</v>
      </c>
    </row>
    <row r="112" spans="1:14" hidden="1" x14ac:dyDescent="0.35">
      <c r="A112"/>
      <c r="B112" t="s">
        <v>109</v>
      </c>
      <c r="C112" s="28">
        <v>2</v>
      </c>
      <c r="D112" s="23">
        <v>0.53750000000000009</v>
      </c>
      <c r="E112" s="23">
        <v>6.9444444444444198E-3</v>
      </c>
      <c r="F112" s="23">
        <v>6.9444444444444441E-3</v>
      </c>
      <c r="G112" s="23">
        <v>2.4305555555555556E-2</v>
      </c>
      <c r="H112" s="23">
        <v>0.56180555555555567</v>
      </c>
      <c r="I112" s="23">
        <v>0</v>
      </c>
      <c r="J112" s="23"/>
      <c r="K112" s="23">
        <v>0.53750000000000009</v>
      </c>
      <c r="L112" s="30">
        <v>2.430555555555558E-2</v>
      </c>
      <c r="M112" s="74" t="s">
        <v>112</v>
      </c>
      <c r="N112" s="79">
        <v>2</v>
      </c>
    </row>
    <row r="113" spans="1:14" hidden="1" x14ac:dyDescent="0.35">
      <c r="A113" t="s">
        <v>113</v>
      </c>
      <c r="B113" t="s">
        <v>108</v>
      </c>
      <c r="C113" s="28">
        <v>6</v>
      </c>
      <c r="D113" s="23">
        <v>0.54166666666666696</v>
      </c>
      <c r="E113" s="23">
        <v>7.6388888888890838E-3</v>
      </c>
      <c r="F113" s="23">
        <v>6.9444444444444441E-3</v>
      </c>
      <c r="G113" s="23">
        <v>2.4305555555555556E-2</v>
      </c>
      <c r="H113" s="23">
        <v>0.56597222222222254</v>
      </c>
      <c r="I113" s="23">
        <v>-6.9444444444466402E-4</v>
      </c>
      <c r="J113" s="23"/>
      <c r="K113" s="23">
        <v>0.5409722222222223</v>
      </c>
      <c r="L113" s="30">
        <v>2.430555555555558E-2</v>
      </c>
      <c r="M113" s="74" t="s">
        <v>112</v>
      </c>
      <c r="N113" s="79">
        <v>1</v>
      </c>
    </row>
    <row r="114" spans="1:14" hidden="1" x14ac:dyDescent="0.35">
      <c r="A114" s="22"/>
      <c r="B114" t="s">
        <v>109</v>
      </c>
      <c r="C114" s="28">
        <v>3</v>
      </c>
      <c r="D114" s="23">
        <v>0.54444444444444451</v>
      </c>
      <c r="E114" s="23">
        <v>6.9444444444444198E-3</v>
      </c>
      <c r="F114" s="23">
        <v>6.9444444444444441E-3</v>
      </c>
      <c r="G114" s="23">
        <v>2.4305555555555556E-2</v>
      </c>
      <c r="H114" s="23">
        <v>0.56875000000000009</v>
      </c>
      <c r="I114" s="23">
        <v>0</v>
      </c>
      <c r="J114" s="23"/>
      <c r="K114" s="23">
        <v>0.54444444444444451</v>
      </c>
      <c r="L114" s="30">
        <v>2.430555555555558E-2</v>
      </c>
      <c r="M114" s="74" t="s">
        <v>112</v>
      </c>
      <c r="N114" s="79">
        <v>2</v>
      </c>
    </row>
    <row r="115" spans="1:14" hidden="1" x14ac:dyDescent="0.35">
      <c r="A115" s="62" t="s">
        <v>113</v>
      </c>
      <c r="B115" s="63" t="s">
        <v>108</v>
      </c>
      <c r="C115" s="64">
        <v>7</v>
      </c>
      <c r="D115" s="65">
        <v>0.54861111111111116</v>
      </c>
      <c r="E115" s="65">
        <v>6.9444444444441977E-3</v>
      </c>
      <c r="F115" s="65">
        <v>6.9444444444444441E-3</v>
      </c>
      <c r="G115" s="65">
        <v>2.4305555555555556E-2</v>
      </c>
      <c r="H115" s="65">
        <v>0.57291666666666674</v>
      </c>
      <c r="I115" s="65">
        <v>0</v>
      </c>
      <c r="J115" s="65"/>
      <c r="K115" s="65">
        <v>0.54861111111111116</v>
      </c>
      <c r="L115" s="66">
        <v>2.430555555555558E-2</v>
      </c>
      <c r="M115" s="74" t="s">
        <v>112</v>
      </c>
      <c r="N115" s="79">
        <v>1</v>
      </c>
    </row>
    <row r="116" spans="1:14" hidden="1" x14ac:dyDescent="0.35">
      <c r="A116" s="62"/>
      <c r="B116" s="63" t="s">
        <v>109</v>
      </c>
      <c r="C116" s="64">
        <v>4</v>
      </c>
      <c r="D116" s="65">
        <v>0.55138888888888915</v>
      </c>
      <c r="E116" s="65">
        <v>6.9444444444446418E-3</v>
      </c>
      <c r="F116" s="65">
        <v>6.9444444444444441E-3</v>
      </c>
      <c r="G116" s="65">
        <v>2.4305555555555556E-2</v>
      </c>
      <c r="H116" s="65">
        <v>0.57569444444444473</v>
      </c>
      <c r="I116" s="65">
        <v>0</v>
      </c>
      <c r="J116" s="65"/>
      <c r="K116" s="65">
        <v>0.55138888888888915</v>
      </c>
      <c r="L116" s="66">
        <v>2.430555555555558E-2</v>
      </c>
      <c r="M116" s="74" t="s">
        <v>112</v>
      </c>
      <c r="N116" s="79">
        <v>2</v>
      </c>
    </row>
    <row r="117" spans="1:14" hidden="1" x14ac:dyDescent="0.35">
      <c r="A117" s="62"/>
      <c r="B117" s="63" t="s">
        <v>108</v>
      </c>
      <c r="C117" s="64">
        <v>1</v>
      </c>
      <c r="D117" s="65">
        <v>0.55486111111111125</v>
      </c>
      <c r="E117" s="65">
        <v>6.2500000000000888E-3</v>
      </c>
      <c r="F117" s="65">
        <v>6.9444444444444441E-3</v>
      </c>
      <c r="G117" s="65">
        <v>2.4305555555555556E-2</v>
      </c>
      <c r="H117" s="65">
        <v>0.57916666666666683</v>
      </c>
      <c r="I117" s="65">
        <v>6.9444444444433095E-4</v>
      </c>
      <c r="J117" s="65"/>
      <c r="K117" s="65">
        <v>0.55555555555555558</v>
      </c>
      <c r="L117" s="66">
        <v>2.430555555555558E-2</v>
      </c>
      <c r="M117" s="77" t="s">
        <v>112</v>
      </c>
      <c r="N117" s="79">
        <v>2</v>
      </c>
    </row>
    <row r="118" spans="1:14" x14ac:dyDescent="0.35">
      <c r="A118" s="62"/>
      <c r="B118" s="63" t="s">
        <v>109</v>
      </c>
      <c r="C118" s="64">
        <v>10</v>
      </c>
      <c r="D118" s="65">
        <v>0.55833333333333346</v>
      </c>
      <c r="E118" s="65">
        <v>6.9444444444443088E-3</v>
      </c>
      <c r="F118" s="65">
        <v>6.9444444444444441E-3</v>
      </c>
      <c r="G118" s="65">
        <v>2.4305555555555556E-2</v>
      </c>
      <c r="H118" s="65">
        <v>0.58263888888888904</v>
      </c>
      <c r="I118" s="65">
        <v>0</v>
      </c>
      <c r="J118" s="65"/>
      <c r="K118" s="65">
        <v>0.55833333333333346</v>
      </c>
      <c r="L118" s="66">
        <v>2.430555555555558E-2</v>
      </c>
      <c r="M118" s="74" t="s">
        <v>112</v>
      </c>
      <c r="N118" s="79">
        <v>2</v>
      </c>
    </row>
    <row r="119" spans="1:14" hidden="1" x14ac:dyDescent="0.35">
      <c r="A119" s="62"/>
      <c r="B119" s="63" t="s">
        <v>108</v>
      </c>
      <c r="C119" s="64">
        <v>2</v>
      </c>
      <c r="D119" s="65">
        <v>0.56180555555555567</v>
      </c>
      <c r="E119" s="65">
        <v>6.9444444444444198E-3</v>
      </c>
      <c r="F119" s="65">
        <v>6.9444444444444441E-3</v>
      </c>
      <c r="G119" s="65">
        <v>2.4305555555555556E-2</v>
      </c>
      <c r="H119" s="65">
        <v>0.58611111111111125</v>
      </c>
      <c r="I119" s="65">
        <v>0</v>
      </c>
      <c r="J119" s="65"/>
      <c r="K119" s="65">
        <v>0.56180555555555567</v>
      </c>
      <c r="L119" s="66">
        <v>2.430555555555558E-2</v>
      </c>
      <c r="M119" s="74" t="s">
        <v>112</v>
      </c>
      <c r="N119" s="79">
        <v>2</v>
      </c>
    </row>
    <row r="120" spans="1:14" hidden="1" x14ac:dyDescent="0.35">
      <c r="A120" s="62"/>
      <c r="B120" s="63" t="s">
        <v>109</v>
      </c>
      <c r="C120" s="64">
        <v>6</v>
      </c>
      <c r="D120" s="65">
        <v>0.56597222222222254</v>
      </c>
      <c r="E120" s="65">
        <v>7.6388888888890838E-3</v>
      </c>
      <c r="F120" s="65">
        <v>6.9444444444444441E-3</v>
      </c>
      <c r="G120" s="65">
        <v>2.4305555555555556E-2</v>
      </c>
      <c r="H120" s="65">
        <v>0.59027777777777812</v>
      </c>
      <c r="I120" s="65">
        <v>-6.9444444444466402E-4</v>
      </c>
      <c r="J120" s="65"/>
      <c r="K120" s="65">
        <v>0.56527777777777788</v>
      </c>
      <c r="L120" s="66">
        <v>2.430555555555558E-2</v>
      </c>
      <c r="M120" s="74" t="s">
        <v>112</v>
      </c>
      <c r="N120" s="79">
        <v>2</v>
      </c>
    </row>
    <row r="121" spans="1:14" hidden="1" x14ac:dyDescent="0.35">
      <c r="A121" s="62"/>
      <c r="B121" s="63" t="s">
        <v>108</v>
      </c>
      <c r="C121" s="64">
        <v>3</v>
      </c>
      <c r="D121" s="65">
        <v>0.56875000000000009</v>
      </c>
      <c r="E121" s="65">
        <v>6.9444444444444198E-3</v>
      </c>
      <c r="F121" s="65">
        <v>6.9444444444444441E-3</v>
      </c>
      <c r="G121" s="65">
        <v>2.4305555555555556E-2</v>
      </c>
      <c r="H121" s="65">
        <v>0.59305555555555567</v>
      </c>
      <c r="I121" s="65">
        <v>0</v>
      </c>
      <c r="J121" s="65"/>
      <c r="K121" s="65">
        <v>0.56875000000000009</v>
      </c>
      <c r="L121" s="66">
        <v>2.430555555555558E-2</v>
      </c>
      <c r="M121" s="74" t="s">
        <v>112</v>
      </c>
      <c r="N121" s="79">
        <v>2</v>
      </c>
    </row>
    <row r="122" spans="1:14" hidden="1" x14ac:dyDescent="0.35">
      <c r="A122" s="68"/>
      <c r="B122" s="65" t="s">
        <v>109</v>
      </c>
      <c r="C122" s="64">
        <v>7</v>
      </c>
      <c r="D122" s="65">
        <v>0.57291666666666674</v>
      </c>
      <c r="E122" s="65">
        <v>6.9444444444441977E-3</v>
      </c>
      <c r="F122" s="65">
        <v>6.9444444444444441E-3</v>
      </c>
      <c r="G122" s="65">
        <v>2.4305555555555556E-2</v>
      </c>
      <c r="H122" s="65">
        <v>0.59722222222222232</v>
      </c>
      <c r="I122" s="65">
        <v>0</v>
      </c>
      <c r="J122" s="65"/>
      <c r="K122" s="65">
        <v>0.57291666666666674</v>
      </c>
      <c r="L122" s="66">
        <v>2.430555555555558E-2</v>
      </c>
      <c r="M122" s="74" t="s">
        <v>112</v>
      </c>
      <c r="N122" s="79">
        <v>2</v>
      </c>
    </row>
    <row r="123" spans="1:14" hidden="1" x14ac:dyDescent="0.35">
      <c r="A123" s="62"/>
      <c r="B123" s="63" t="s">
        <v>108</v>
      </c>
      <c r="C123" s="64">
        <v>4</v>
      </c>
      <c r="D123" s="65">
        <v>0.57569444444444473</v>
      </c>
      <c r="E123" s="65">
        <v>6.9444444444446418E-3</v>
      </c>
      <c r="F123" s="65">
        <v>6.9444444444444441E-3</v>
      </c>
      <c r="G123" s="65">
        <v>2.4305555555555556E-2</v>
      </c>
      <c r="H123" s="65">
        <v>0.60000000000000031</v>
      </c>
      <c r="I123" s="65">
        <v>0</v>
      </c>
      <c r="J123" s="65"/>
      <c r="K123" s="65">
        <v>0.57569444444444473</v>
      </c>
      <c r="L123" s="66">
        <v>2.430555555555558E-2</v>
      </c>
      <c r="M123" s="74" t="s">
        <v>112</v>
      </c>
      <c r="N123" s="79">
        <v>2</v>
      </c>
    </row>
    <row r="124" spans="1:14" hidden="1" x14ac:dyDescent="0.35">
      <c r="A124" s="62"/>
      <c r="B124" s="63" t="s">
        <v>109</v>
      </c>
      <c r="C124" s="64">
        <v>1</v>
      </c>
      <c r="D124" s="65">
        <v>0.57916666666666683</v>
      </c>
      <c r="E124" s="65">
        <v>6.2500000000000888E-3</v>
      </c>
      <c r="F124" s="65">
        <v>6.9444444444444441E-3</v>
      </c>
      <c r="G124" s="65">
        <v>2.4305555555555556E-2</v>
      </c>
      <c r="H124" s="65">
        <v>0.60347222222222241</v>
      </c>
      <c r="I124" s="65">
        <v>6.9444444444433095E-4</v>
      </c>
      <c r="J124" s="65"/>
      <c r="K124" s="65">
        <v>0.57986111111111116</v>
      </c>
      <c r="L124" s="66">
        <v>2.430555555555558E-2</v>
      </c>
      <c r="M124" s="77" t="s">
        <v>112</v>
      </c>
      <c r="N124" s="79">
        <v>2</v>
      </c>
    </row>
    <row r="125" spans="1:14" x14ac:dyDescent="0.35">
      <c r="A125" s="62"/>
      <c r="B125" s="63" t="s">
        <v>108</v>
      </c>
      <c r="C125" s="64">
        <v>10</v>
      </c>
      <c r="D125" s="65">
        <v>0.58263888888888904</v>
      </c>
      <c r="E125" s="65">
        <v>6.9444444444443088E-3</v>
      </c>
      <c r="F125" s="65">
        <v>6.9444444444444441E-3</v>
      </c>
      <c r="G125" s="65">
        <v>2.4305555555555556E-2</v>
      </c>
      <c r="H125" s="65">
        <v>0.60694444444444462</v>
      </c>
      <c r="I125" s="65">
        <v>0</v>
      </c>
      <c r="J125" s="65"/>
      <c r="K125" s="65">
        <v>0.58263888888888904</v>
      </c>
      <c r="L125" s="66">
        <v>2.430555555555558E-2</v>
      </c>
      <c r="M125" s="74" t="s">
        <v>112</v>
      </c>
      <c r="N125" s="79">
        <v>2</v>
      </c>
    </row>
    <row r="126" spans="1:14" hidden="1" x14ac:dyDescent="0.35">
      <c r="A126" s="67"/>
      <c r="B126" s="63" t="s">
        <v>109</v>
      </c>
      <c r="C126" s="64">
        <v>2</v>
      </c>
      <c r="D126" s="65">
        <v>0.58611111111111125</v>
      </c>
      <c r="E126" s="65">
        <v>6.9444444444444198E-3</v>
      </c>
      <c r="F126" s="65">
        <v>6.9444444444444441E-3</v>
      </c>
      <c r="G126" s="65">
        <v>2.4305555555555556E-2</v>
      </c>
      <c r="H126" s="65">
        <v>0.61041666666666683</v>
      </c>
      <c r="I126" s="65">
        <v>0</v>
      </c>
      <c r="J126" s="65"/>
      <c r="K126" s="65">
        <v>0.58611111111111125</v>
      </c>
      <c r="L126" s="66">
        <v>2.430555555555558E-2</v>
      </c>
      <c r="M126" s="74" t="s">
        <v>112</v>
      </c>
      <c r="N126" s="79">
        <v>2</v>
      </c>
    </row>
    <row r="127" spans="1:14" hidden="1" x14ac:dyDescent="0.35">
      <c r="A127" s="62"/>
      <c r="B127" s="63" t="s">
        <v>108</v>
      </c>
      <c r="C127" s="64">
        <v>6</v>
      </c>
      <c r="D127" s="65">
        <v>0.59027777777777812</v>
      </c>
      <c r="E127" s="65">
        <v>7.6388888888890838E-3</v>
      </c>
      <c r="F127" s="65">
        <v>6.9444444444444441E-3</v>
      </c>
      <c r="G127" s="65">
        <v>2.4305555555555556E-2</v>
      </c>
      <c r="H127" s="65">
        <v>0.6145833333333337</v>
      </c>
      <c r="I127" s="65">
        <v>-6.9444444444466402E-4</v>
      </c>
      <c r="J127" s="65"/>
      <c r="K127" s="65">
        <v>0.58958333333333346</v>
      </c>
      <c r="L127" s="66">
        <v>2.430555555555558E-2</v>
      </c>
      <c r="M127" s="74" t="s">
        <v>112</v>
      </c>
      <c r="N127" s="79">
        <v>2</v>
      </c>
    </row>
    <row r="128" spans="1:14" hidden="1" x14ac:dyDescent="0.35">
      <c r="A128" s="62"/>
      <c r="B128" s="63" t="s">
        <v>109</v>
      </c>
      <c r="C128" s="64">
        <v>3</v>
      </c>
      <c r="D128" s="65">
        <v>0.59305555555555567</v>
      </c>
      <c r="E128" s="65">
        <v>6.9444444444444198E-3</v>
      </c>
      <c r="F128" s="65">
        <v>6.9444444444444441E-3</v>
      </c>
      <c r="G128" s="65">
        <v>2.4305555555555556E-2</v>
      </c>
      <c r="H128" s="65">
        <v>0.61736111111111125</v>
      </c>
      <c r="I128" s="65">
        <v>0</v>
      </c>
      <c r="J128" s="65"/>
      <c r="K128" s="65">
        <v>0.59305555555555567</v>
      </c>
      <c r="L128" s="66">
        <v>2.430555555555558E-2</v>
      </c>
      <c r="M128" s="74" t="s">
        <v>112</v>
      </c>
      <c r="N128" s="79">
        <v>2</v>
      </c>
    </row>
    <row r="129" spans="1:14" hidden="1" x14ac:dyDescent="0.35">
      <c r="A129" s="62"/>
      <c r="B129" s="63" t="s">
        <v>108</v>
      </c>
      <c r="C129" s="64">
        <v>7</v>
      </c>
      <c r="D129" s="65">
        <v>0.59722222222222232</v>
      </c>
      <c r="E129" s="65">
        <v>6.9444444444441977E-3</v>
      </c>
      <c r="F129" s="65">
        <v>6.9444444444444441E-3</v>
      </c>
      <c r="G129" s="65">
        <v>2.4305555555555556E-2</v>
      </c>
      <c r="H129" s="65">
        <v>0.6215277777777779</v>
      </c>
      <c r="I129" s="65">
        <v>0</v>
      </c>
      <c r="J129" s="65"/>
      <c r="K129" s="65">
        <v>0.59722222222222232</v>
      </c>
      <c r="L129" s="66">
        <v>2.430555555555558E-2</v>
      </c>
      <c r="M129" s="74" t="s">
        <v>112</v>
      </c>
      <c r="N129" s="79">
        <v>2</v>
      </c>
    </row>
    <row r="130" spans="1:14" hidden="1" x14ac:dyDescent="0.35">
      <c r="A130" s="62"/>
      <c r="B130" s="63" t="s">
        <v>109</v>
      </c>
      <c r="C130" s="64">
        <v>4</v>
      </c>
      <c r="D130" s="65">
        <v>0.60000000000000031</v>
      </c>
      <c r="E130" s="65">
        <v>6.9444444444446418E-3</v>
      </c>
      <c r="F130" s="65">
        <v>6.9444444444444441E-3</v>
      </c>
      <c r="G130" s="65">
        <v>2.4305555555555556E-2</v>
      </c>
      <c r="H130" s="65">
        <v>0.62430555555555589</v>
      </c>
      <c r="I130" s="65">
        <v>0</v>
      </c>
      <c r="J130" s="65"/>
      <c r="K130" s="65">
        <v>0.60000000000000031</v>
      </c>
      <c r="L130" s="66">
        <v>2.430555555555558E-2</v>
      </c>
      <c r="M130" s="74" t="s">
        <v>112</v>
      </c>
      <c r="N130" s="79">
        <v>2</v>
      </c>
    </row>
    <row r="131" spans="1:14" hidden="1" x14ac:dyDescent="0.35">
      <c r="A131" s="67"/>
      <c r="B131" s="63" t="s">
        <v>108</v>
      </c>
      <c r="C131" s="64">
        <v>1</v>
      </c>
      <c r="D131" s="65">
        <v>0.60347222222222241</v>
      </c>
      <c r="E131" s="65">
        <v>6.2500000000000888E-3</v>
      </c>
      <c r="F131" s="65">
        <v>6.9444444444444441E-3</v>
      </c>
      <c r="G131" s="65">
        <v>2.4305555555555556E-2</v>
      </c>
      <c r="H131" s="65">
        <v>0.62777777777777799</v>
      </c>
      <c r="I131" s="65">
        <v>6.9444444444433095E-4</v>
      </c>
      <c r="J131" s="65"/>
      <c r="K131" s="65">
        <v>0.60416666666666674</v>
      </c>
      <c r="L131" s="66">
        <v>2.430555555555558E-2</v>
      </c>
      <c r="M131" s="77" t="s">
        <v>112</v>
      </c>
      <c r="N131" s="79">
        <v>2</v>
      </c>
    </row>
    <row r="132" spans="1:14" x14ac:dyDescent="0.35">
      <c r="A132" s="62"/>
      <c r="B132" s="63" t="s">
        <v>109</v>
      </c>
      <c r="C132" s="64">
        <v>10</v>
      </c>
      <c r="D132" s="65">
        <v>0.60694444444444462</v>
      </c>
      <c r="E132" s="65">
        <v>6.9444444444443088E-3</v>
      </c>
      <c r="F132" s="65">
        <v>6.9444444444444441E-3</v>
      </c>
      <c r="G132" s="65">
        <v>2.4305555555555556E-2</v>
      </c>
      <c r="H132" s="65">
        <v>0.6312500000000002</v>
      </c>
      <c r="I132" s="65">
        <v>0</v>
      </c>
      <c r="J132" s="65"/>
      <c r="K132" s="65">
        <v>0.60694444444444462</v>
      </c>
      <c r="L132" s="66">
        <v>2.430555555555558E-2</v>
      </c>
      <c r="M132" s="74" t="s">
        <v>112</v>
      </c>
      <c r="N132" s="79">
        <v>2</v>
      </c>
    </row>
    <row r="133" spans="1:14" hidden="1" x14ac:dyDescent="0.35">
      <c r="A133" s="62"/>
      <c r="B133" s="63" t="s">
        <v>108</v>
      </c>
      <c r="C133" s="64">
        <v>2</v>
      </c>
      <c r="D133" s="65">
        <v>0.61041666666666683</v>
      </c>
      <c r="E133" s="65">
        <v>6.9444444444444198E-3</v>
      </c>
      <c r="F133" s="65">
        <v>6.9444444444444441E-3</v>
      </c>
      <c r="G133" s="65">
        <v>2.4305555555555556E-2</v>
      </c>
      <c r="H133" s="65">
        <v>0.63472222222222241</v>
      </c>
      <c r="I133" s="65">
        <v>0</v>
      </c>
      <c r="J133" s="65"/>
      <c r="K133" s="65">
        <v>0.61041666666666683</v>
      </c>
      <c r="L133" s="66">
        <v>2.430555555555558E-2</v>
      </c>
      <c r="M133" s="74" t="s">
        <v>112</v>
      </c>
      <c r="N133" s="79">
        <v>2</v>
      </c>
    </row>
    <row r="134" spans="1:14" hidden="1" x14ac:dyDescent="0.35">
      <c r="A134" s="62"/>
      <c r="B134" s="63" t="s">
        <v>109</v>
      </c>
      <c r="C134" s="64">
        <v>6</v>
      </c>
      <c r="D134" s="65">
        <v>0.6145833333333337</v>
      </c>
      <c r="E134" s="65">
        <v>7.6388888888890838E-3</v>
      </c>
      <c r="F134" s="65">
        <v>6.9444444444444441E-3</v>
      </c>
      <c r="G134" s="65">
        <v>2.4305555555555556E-2</v>
      </c>
      <c r="H134" s="65">
        <v>0.63888888888888928</v>
      </c>
      <c r="I134" s="65">
        <v>-6.9444444444466402E-4</v>
      </c>
      <c r="J134" s="65"/>
      <c r="K134" s="65">
        <v>0.61388888888888904</v>
      </c>
      <c r="L134" s="66">
        <v>2.430555555555558E-2</v>
      </c>
      <c r="M134" s="74" t="s">
        <v>112</v>
      </c>
      <c r="N134" s="79">
        <v>2</v>
      </c>
    </row>
    <row r="135" spans="1:14" hidden="1" x14ac:dyDescent="0.35">
      <c r="A135" s="67"/>
      <c r="B135" s="63" t="s">
        <v>108</v>
      </c>
      <c r="C135" s="64">
        <v>3</v>
      </c>
      <c r="D135" s="65">
        <v>0.61736111111111125</v>
      </c>
      <c r="E135" s="65">
        <v>6.9444444444444198E-3</v>
      </c>
      <c r="F135" s="65">
        <v>6.9444444444444441E-3</v>
      </c>
      <c r="G135" s="65">
        <v>2.4305555555555556E-2</v>
      </c>
      <c r="H135" s="65">
        <v>0.64166666666666683</v>
      </c>
      <c r="I135" s="65">
        <v>0</v>
      </c>
      <c r="J135" s="65"/>
      <c r="K135" s="65">
        <v>0.61736111111111125</v>
      </c>
      <c r="L135" s="66">
        <v>2.430555555555558E-2</v>
      </c>
      <c r="M135" s="74" t="s">
        <v>112</v>
      </c>
      <c r="N135" s="79">
        <v>2</v>
      </c>
    </row>
    <row r="136" spans="1:14" hidden="1" x14ac:dyDescent="0.35">
      <c r="A136" s="62"/>
      <c r="B136" s="63" t="s">
        <v>109</v>
      </c>
      <c r="C136" s="64">
        <v>7</v>
      </c>
      <c r="D136" s="65">
        <v>0.6215277777777779</v>
      </c>
      <c r="E136" s="65">
        <v>6.9444444444441977E-3</v>
      </c>
      <c r="F136" s="65">
        <v>6.9444444444444441E-3</v>
      </c>
      <c r="G136" s="65">
        <v>2.4305555555555556E-2</v>
      </c>
      <c r="H136" s="65">
        <v>0.64583333333333348</v>
      </c>
      <c r="I136" s="65">
        <v>0</v>
      </c>
      <c r="J136" s="65"/>
      <c r="K136" s="65">
        <v>0.6215277777777779</v>
      </c>
      <c r="L136" s="66">
        <v>2.430555555555558E-2</v>
      </c>
      <c r="M136" s="74" t="s">
        <v>112</v>
      </c>
      <c r="N136" s="79">
        <v>2</v>
      </c>
    </row>
    <row r="137" spans="1:14" hidden="1" x14ac:dyDescent="0.35">
      <c r="A137" s="62"/>
      <c r="B137" s="63" t="s">
        <v>108</v>
      </c>
      <c r="C137" s="64">
        <v>4</v>
      </c>
      <c r="D137" s="65">
        <v>0.62430555555555589</v>
      </c>
      <c r="E137" s="65">
        <v>6.9444444444446418E-3</v>
      </c>
      <c r="F137" s="65">
        <v>6.9444444444444441E-3</v>
      </c>
      <c r="G137" s="65">
        <v>2.4305555555555556E-2</v>
      </c>
      <c r="H137" s="65">
        <v>0.64861111111111147</v>
      </c>
      <c r="I137" s="65">
        <v>0</v>
      </c>
      <c r="J137" s="65"/>
      <c r="K137" s="65">
        <v>0.62430555555555589</v>
      </c>
      <c r="L137" s="66">
        <v>2.430555555555558E-2</v>
      </c>
      <c r="M137" s="74" t="s">
        <v>112</v>
      </c>
      <c r="N137" s="79">
        <v>2</v>
      </c>
    </row>
    <row r="138" spans="1:14" hidden="1" x14ac:dyDescent="0.35">
      <c r="A138" s="62"/>
      <c r="B138" s="63" t="s">
        <v>109</v>
      </c>
      <c r="C138" s="64">
        <v>1</v>
      </c>
      <c r="D138" s="65">
        <v>0.62777777777777799</v>
      </c>
      <c r="E138" s="65">
        <v>6.2500000000000888E-3</v>
      </c>
      <c r="F138" s="65">
        <v>4.8611111111111112E-3</v>
      </c>
      <c r="G138" s="65">
        <v>2.4305555555555556E-2</v>
      </c>
      <c r="H138" s="65">
        <v>0.65208333333333357</v>
      </c>
      <c r="I138" s="65">
        <v>-1.388888888888995E-3</v>
      </c>
      <c r="J138" s="65"/>
      <c r="K138" s="65">
        <v>0.62638888888888899</v>
      </c>
      <c r="L138" s="66">
        <v>2.430555555555558E-2</v>
      </c>
      <c r="M138" s="77" t="s">
        <v>112</v>
      </c>
      <c r="N138" s="79">
        <v>2</v>
      </c>
    </row>
    <row r="139" spans="1:14" x14ac:dyDescent="0.35">
      <c r="A139" s="62"/>
      <c r="B139" t="s">
        <v>108</v>
      </c>
      <c r="C139" s="64">
        <v>10</v>
      </c>
      <c r="D139" s="65">
        <v>0.6312500000000002</v>
      </c>
      <c r="E139" s="65">
        <v>6.9444444444443088E-3</v>
      </c>
      <c r="F139" s="65">
        <v>6.9444444444444397E-3</v>
      </c>
      <c r="G139" s="65">
        <v>2.4305555555555556E-2</v>
      </c>
      <c r="H139" s="65">
        <v>0.65555555555555578</v>
      </c>
      <c r="I139" s="65">
        <v>0</v>
      </c>
      <c r="J139" s="65"/>
      <c r="K139" s="65">
        <v>0.6312500000000002</v>
      </c>
      <c r="L139" s="66">
        <v>2.430555555555558E-2</v>
      </c>
      <c r="M139" s="74" t="s">
        <v>112</v>
      </c>
      <c r="N139" s="79">
        <v>2</v>
      </c>
    </row>
    <row r="140" spans="1:14" hidden="1" x14ac:dyDescent="0.35">
      <c r="A140" s="62" t="s">
        <v>63</v>
      </c>
      <c r="B140" s="63" t="s">
        <v>109</v>
      </c>
      <c r="C140" s="64">
        <v>9</v>
      </c>
      <c r="D140" s="65">
        <v>0.63263888888888886</v>
      </c>
      <c r="E140" s="65">
        <v>4.8611111111108718E-3</v>
      </c>
      <c r="F140" s="65">
        <v>4.8611111111111112E-3</v>
      </c>
      <c r="G140" s="65">
        <v>2.4305555555555556E-2</v>
      </c>
      <c r="H140" s="65">
        <v>0.65694444444444444</v>
      </c>
      <c r="I140" s="65">
        <v>0</v>
      </c>
      <c r="J140" s="65"/>
      <c r="K140" s="65">
        <v>0.63263888888888886</v>
      </c>
      <c r="L140" s="66">
        <v>2.430555555555558E-2</v>
      </c>
      <c r="M140" s="74" t="s">
        <v>114</v>
      </c>
      <c r="N140" s="79">
        <v>2</v>
      </c>
    </row>
    <row r="141" spans="1:14" hidden="1" x14ac:dyDescent="0.35">
      <c r="A141" s="62"/>
      <c r="B141" s="64" t="s">
        <v>109</v>
      </c>
      <c r="C141" s="64">
        <v>2</v>
      </c>
      <c r="D141" s="65">
        <v>0.63749999999999996</v>
      </c>
      <c r="E141" s="65">
        <v>4.8611111111110938E-3</v>
      </c>
      <c r="F141" s="65">
        <v>4.8611111111111112E-3</v>
      </c>
      <c r="G141" s="65">
        <v>2.4305555555555556E-2</v>
      </c>
      <c r="H141" s="65">
        <v>0.66180555555555554</v>
      </c>
      <c r="I141" s="65">
        <v>0</v>
      </c>
      <c r="J141" s="65">
        <v>2.7777777777777779E-3</v>
      </c>
      <c r="K141" s="65">
        <v>0.63749999999999996</v>
      </c>
      <c r="L141" s="66">
        <v>2.7083333333333359E-2</v>
      </c>
      <c r="M141" s="74" t="s">
        <v>112</v>
      </c>
      <c r="N141" s="79">
        <v>2</v>
      </c>
    </row>
    <row r="142" spans="1:14" hidden="1" x14ac:dyDescent="0.35">
      <c r="A142" s="62"/>
      <c r="B142" s="63" t="s">
        <v>108</v>
      </c>
      <c r="C142" s="64">
        <v>6</v>
      </c>
      <c r="D142" s="65">
        <v>0.63888888888888928</v>
      </c>
      <c r="E142" s="65">
        <v>7.6388888888890838E-3</v>
      </c>
      <c r="F142" s="65">
        <v>6.9444444444444397E-3</v>
      </c>
      <c r="G142" s="65">
        <v>2.4305555555555556E-2</v>
      </c>
      <c r="H142" s="65">
        <v>0.66319444444444486</v>
      </c>
      <c r="I142" s="65">
        <v>-6.9444444444466402E-4</v>
      </c>
      <c r="J142" s="65"/>
      <c r="K142" s="65">
        <v>0.63819444444444462</v>
      </c>
      <c r="L142" s="66">
        <v>2.430555555555558E-2</v>
      </c>
      <c r="M142" s="74" t="s">
        <v>112</v>
      </c>
      <c r="N142" s="79">
        <v>2</v>
      </c>
    </row>
    <row r="143" spans="1:14" hidden="1" x14ac:dyDescent="0.35">
      <c r="A143" s="62"/>
      <c r="B143" s="63" t="s">
        <v>109</v>
      </c>
      <c r="C143" s="64">
        <v>3</v>
      </c>
      <c r="D143" s="65">
        <v>0.64236111111111116</v>
      </c>
      <c r="E143" s="65">
        <v>4.8611111111112049E-3</v>
      </c>
      <c r="F143" s="65">
        <v>4.8611111111111112E-3</v>
      </c>
      <c r="G143" s="65">
        <v>2.4305555555555556E-2</v>
      </c>
      <c r="H143" s="65">
        <v>0.66666666666666674</v>
      </c>
      <c r="I143" s="65">
        <v>0</v>
      </c>
      <c r="J143" s="65">
        <v>6.9444444444444447E-4</v>
      </c>
      <c r="K143" s="65">
        <v>0.64236111111111116</v>
      </c>
      <c r="L143" s="66">
        <v>2.5000000000000026E-2</v>
      </c>
      <c r="M143" s="74" t="s">
        <v>112</v>
      </c>
      <c r="N143" s="79">
        <v>2</v>
      </c>
    </row>
    <row r="144" spans="1:14" hidden="1" x14ac:dyDescent="0.35">
      <c r="A144" s="62"/>
      <c r="B144" s="63" t="s">
        <v>108</v>
      </c>
      <c r="C144" s="64">
        <v>7</v>
      </c>
      <c r="D144" s="65">
        <v>0.64583333333333348</v>
      </c>
      <c r="E144" s="65">
        <v>6.9444444444441977E-3</v>
      </c>
      <c r="F144" s="65">
        <v>6.9444444444444397E-3</v>
      </c>
      <c r="G144" s="65">
        <v>2.4305555555555556E-2</v>
      </c>
      <c r="H144" s="65">
        <v>0.67013888888888906</v>
      </c>
      <c r="I144" s="65">
        <v>0</v>
      </c>
      <c r="J144" s="65"/>
      <c r="K144" s="65">
        <v>0.64583333333333348</v>
      </c>
      <c r="L144" s="66">
        <v>2.430555555555558E-2</v>
      </c>
      <c r="M144" s="74" t="s">
        <v>112</v>
      </c>
      <c r="N144" s="79">
        <v>2</v>
      </c>
    </row>
    <row r="145" spans="1:14" hidden="1" x14ac:dyDescent="0.35">
      <c r="A145" s="62" t="s">
        <v>63</v>
      </c>
      <c r="B145" s="63" t="s">
        <v>109</v>
      </c>
      <c r="C145" s="64">
        <v>5</v>
      </c>
      <c r="D145" s="65">
        <v>0.64722222222222225</v>
      </c>
      <c r="E145" s="65">
        <v>4.8611111111110938E-3</v>
      </c>
      <c r="F145" s="65">
        <v>4.8611111111111112E-3</v>
      </c>
      <c r="G145" s="65">
        <v>2.4305555555555556E-2</v>
      </c>
      <c r="H145" s="65">
        <v>0.67152777777777783</v>
      </c>
      <c r="I145" s="65">
        <v>0</v>
      </c>
      <c r="J145" s="65"/>
      <c r="K145" s="65">
        <v>0.64722222222222225</v>
      </c>
      <c r="L145" s="66">
        <v>2.430555555555558E-2</v>
      </c>
      <c r="M145" s="74" t="s">
        <v>114</v>
      </c>
      <c r="N145" s="79">
        <v>2</v>
      </c>
    </row>
    <row r="146" spans="1:14" hidden="1" x14ac:dyDescent="0.35">
      <c r="A146" s="62"/>
      <c r="B146" s="63" t="s">
        <v>109</v>
      </c>
      <c r="C146" s="64">
        <v>4</v>
      </c>
      <c r="D146" s="65">
        <v>0.65208333333333335</v>
      </c>
      <c r="E146" s="65">
        <v>4.8611111111110938E-3</v>
      </c>
      <c r="F146" s="65">
        <v>4.8611111111111112E-3</v>
      </c>
      <c r="G146" s="65">
        <v>2.4305555555555556E-2</v>
      </c>
      <c r="H146" s="65">
        <v>0.67638888888888893</v>
      </c>
      <c r="I146" s="65">
        <v>0</v>
      </c>
      <c r="J146" s="65">
        <v>3.472222222222222E-3</v>
      </c>
      <c r="K146" s="65">
        <v>0.65208333333333335</v>
      </c>
      <c r="L146" s="66">
        <v>2.7777777777777804E-2</v>
      </c>
      <c r="M146" s="74" t="s">
        <v>112</v>
      </c>
      <c r="N146" s="79">
        <v>2</v>
      </c>
    </row>
    <row r="147" spans="1:14" hidden="1" x14ac:dyDescent="0.35">
      <c r="A147" s="62"/>
      <c r="B147" s="63" t="s">
        <v>108</v>
      </c>
      <c r="C147" s="64">
        <v>1</v>
      </c>
      <c r="D147" s="65">
        <v>0.65208333333333357</v>
      </c>
      <c r="E147" s="65">
        <v>6.2500000000000888E-3</v>
      </c>
      <c r="F147" s="65">
        <v>6.9444444444444397E-3</v>
      </c>
      <c r="G147" s="65">
        <v>2.4305555555555556E-2</v>
      </c>
      <c r="H147" s="65">
        <v>0.67638888888888915</v>
      </c>
      <c r="I147" s="65">
        <v>6.9444444444433095E-4</v>
      </c>
      <c r="J147" s="65"/>
      <c r="K147" s="65">
        <v>0.6527777777777779</v>
      </c>
      <c r="L147" s="66">
        <v>2.430555555555558E-2</v>
      </c>
      <c r="M147" s="77" t="s">
        <v>112</v>
      </c>
      <c r="N147" s="79">
        <v>2</v>
      </c>
    </row>
    <row r="148" spans="1:14" hidden="1" x14ac:dyDescent="0.35">
      <c r="A148" s="62"/>
      <c r="B148" s="63" t="s">
        <v>108</v>
      </c>
      <c r="C148" s="64">
        <v>9</v>
      </c>
      <c r="D148" s="65">
        <v>0.65694444444444444</v>
      </c>
      <c r="E148" s="65">
        <v>4.8611111111108718E-3</v>
      </c>
      <c r="F148" s="65">
        <v>4.8611111111111112E-3</v>
      </c>
      <c r="G148" s="65">
        <v>2.4305555555555556E-2</v>
      </c>
      <c r="H148" s="65">
        <v>0.68125000000000002</v>
      </c>
      <c r="I148" s="65">
        <v>0</v>
      </c>
      <c r="J148" s="65"/>
      <c r="K148" s="65">
        <v>0.65694444444444444</v>
      </c>
      <c r="L148" s="66">
        <v>2.430555555555558E-2</v>
      </c>
      <c r="M148" s="74" t="s">
        <v>114</v>
      </c>
      <c r="N148" s="79">
        <v>2</v>
      </c>
    </row>
    <row r="149" spans="1:14" x14ac:dyDescent="0.35">
      <c r="A149" s="62"/>
      <c r="B149" s="63" t="s">
        <v>109</v>
      </c>
      <c r="C149" s="64">
        <v>10</v>
      </c>
      <c r="D149" s="65">
        <v>0.65694444444444444</v>
      </c>
      <c r="E149" s="65">
        <v>4.8611111111110938E-3</v>
      </c>
      <c r="F149" s="65">
        <v>4.8611111111111112E-3</v>
      </c>
      <c r="G149" s="65">
        <v>2.4305555555555556E-2</v>
      </c>
      <c r="H149" s="65">
        <v>0.68125000000000002</v>
      </c>
      <c r="I149" s="65">
        <v>0</v>
      </c>
      <c r="J149" s="65">
        <v>1.3888888888888889E-3</v>
      </c>
      <c r="K149" s="65">
        <v>0.65694444444444444</v>
      </c>
      <c r="L149" s="66">
        <v>2.5694444444444468E-2</v>
      </c>
      <c r="M149" s="74" t="s">
        <v>112</v>
      </c>
      <c r="N149" s="79">
        <v>2</v>
      </c>
    </row>
    <row r="150" spans="1:14" hidden="1" x14ac:dyDescent="0.35">
      <c r="A150" s="62"/>
      <c r="B150" s="63" t="s">
        <v>108</v>
      </c>
      <c r="C150" s="64">
        <v>2</v>
      </c>
      <c r="D150" s="65">
        <v>0.66180555555555554</v>
      </c>
      <c r="E150" s="65">
        <v>4.8611111111110938E-3</v>
      </c>
      <c r="F150" s="65">
        <v>4.8611111111111112E-3</v>
      </c>
      <c r="G150" s="65">
        <v>2.4305555555555556E-2</v>
      </c>
      <c r="H150" s="65">
        <v>0.68611111111111112</v>
      </c>
      <c r="I150" s="65">
        <v>0</v>
      </c>
      <c r="J150" s="65"/>
      <c r="K150" s="65">
        <v>0.66180555555555554</v>
      </c>
      <c r="L150" s="66">
        <v>2.430555555555558E-2</v>
      </c>
      <c r="M150" s="74" t="s">
        <v>112</v>
      </c>
      <c r="N150" s="79">
        <v>2</v>
      </c>
    </row>
    <row r="151" spans="1:14" hidden="1" x14ac:dyDescent="0.35">
      <c r="A151" s="62" t="s">
        <v>63</v>
      </c>
      <c r="B151" s="63" t="s">
        <v>109</v>
      </c>
      <c r="C151" s="64">
        <v>8</v>
      </c>
      <c r="D151" s="65">
        <v>0.66180555555555554</v>
      </c>
      <c r="E151" s="65">
        <v>4.8611111111110938E-3</v>
      </c>
      <c r="F151" s="65">
        <v>4.8611111111111112E-3</v>
      </c>
      <c r="G151" s="65">
        <v>2.4305555555555556E-2</v>
      </c>
      <c r="H151" s="65">
        <v>0.68611111111111112</v>
      </c>
      <c r="I151" s="65">
        <v>0</v>
      </c>
      <c r="J151" s="65"/>
      <c r="K151" s="65">
        <v>0.66180555555555554</v>
      </c>
      <c r="L151" s="66">
        <v>2.430555555555558E-2</v>
      </c>
      <c r="M151" s="74" t="s">
        <v>114</v>
      </c>
      <c r="N151" s="79">
        <v>2</v>
      </c>
    </row>
    <row r="152" spans="1:14" hidden="1" x14ac:dyDescent="0.35">
      <c r="A152" s="62"/>
      <c r="B152" s="63" t="s">
        <v>109</v>
      </c>
      <c r="C152" s="64">
        <v>6</v>
      </c>
      <c r="D152" s="65">
        <v>0.66666666666666663</v>
      </c>
      <c r="E152" s="65">
        <v>4.8611111111110938E-3</v>
      </c>
      <c r="F152" s="65">
        <v>4.8611111111111112E-3</v>
      </c>
      <c r="G152" s="65">
        <v>2.4305555555555556E-2</v>
      </c>
      <c r="H152" s="65">
        <v>0.69097222222222221</v>
      </c>
      <c r="I152" s="65">
        <v>0</v>
      </c>
      <c r="J152" s="65">
        <v>3.472222222222222E-3</v>
      </c>
      <c r="K152" s="65">
        <v>0.66666666666666663</v>
      </c>
      <c r="L152" s="66">
        <v>2.7777777777777804E-2</v>
      </c>
      <c r="M152" s="74" t="s">
        <v>112</v>
      </c>
      <c r="N152" s="79">
        <v>2</v>
      </c>
    </row>
    <row r="153" spans="1:14" hidden="1" x14ac:dyDescent="0.35">
      <c r="A153" s="62"/>
      <c r="B153" s="63" t="s">
        <v>108</v>
      </c>
      <c r="C153" s="64">
        <v>3</v>
      </c>
      <c r="D153" s="65">
        <v>0.66666666666666674</v>
      </c>
      <c r="E153" s="65">
        <v>4.8611111111112049E-3</v>
      </c>
      <c r="F153" s="65">
        <v>4.8611111111111112E-3</v>
      </c>
      <c r="G153" s="65">
        <v>2.4305555555555556E-2</v>
      </c>
      <c r="H153" s="65">
        <v>0.69097222222222232</v>
      </c>
      <c r="I153" s="65">
        <v>0</v>
      </c>
      <c r="J153" s="65"/>
      <c r="K153" s="65">
        <v>0.66666666666666674</v>
      </c>
      <c r="L153" s="66">
        <v>2.430555555555558E-2</v>
      </c>
      <c r="M153" s="74" t="s">
        <v>112</v>
      </c>
      <c r="N153" s="79">
        <v>2</v>
      </c>
    </row>
    <row r="154" spans="1:14" hidden="1" x14ac:dyDescent="0.35">
      <c r="A154" s="62"/>
      <c r="B154" s="63" t="s">
        <v>109</v>
      </c>
      <c r="C154" s="64">
        <v>7</v>
      </c>
      <c r="D154" s="65">
        <v>0.67152777777777772</v>
      </c>
      <c r="E154" s="65">
        <v>4.8611111111110938E-3</v>
      </c>
      <c r="F154" s="65">
        <v>4.8611111111111112E-3</v>
      </c>
      <c r="G154" s="65">
        <v>2.4305555555555556E-2</v>
      </c>
      <c r="H154" s="65">
        <v>0.6958333333333333</v>
      </c>
      <c r="I154" s="65">
        <v>0</v>
      </c>
      <c r="J154" s="65">
        <v>1.3888888888888889E-3</v>
      </c>
      <c r="K154" s="65">
        <v>0.67152777777777772</v>
      </c>
      <c r="L154" s="66">
        <v>2.5694444444444468E-2</v>
      </c>
      <c r="M154" s="74" t="s">
        <v>112</v>
      </c>
      <c r="N154" s="79">
        <v>2</v>
      </c>
    </row>
    <row r="155" spans="1:14" hidden="1" x14ac:dyDescent="0.35">
      <c r="A155" s="62"/>
      <c r="B155" s="63" t="s">
        <v>108</v>
      </c>
      <c r="C155" s="64">
        <v>5</v>
      </c>
      <c r="D155" s="65">
        <v>0.67152777777777783</v>
      </c>
      <c r="E155" s="65">
        <v>4.8611111111110938E-3</v>
      </c>
      <c r="F155" s="65">
        <v>4.8611111111111112E-3</v>
      </c>
      <c r="G155" s="65">
        <v>2.4305555555555556E-2</v>
      </c>
      <c r="H155" s="65">
        <v>0.69583333333333341</v>
      </c>
      <c r="I155" s="65">
        <v>0</v>
      </c>
      <c r="J155" s="65"/>
      <c r="K155" s="65">
        <v>0.67152777777777783</v>
      </c>
      <c r="L155" s="66">
        <v>2.430555555555558E-2</v>
      </c>
      <c r="M155" s="74" t="s">
        <v>114</v>
      </c>
      <c r="N155" s="79">
        <v>2</v>
      </c>
    </row>
    <row r="156" spans="1:14" hidden="1" x14ac:dyDescent="0.35">
      <c r="A156" s="62"/>
      <c r="B156" s="63" t="s">
        <v>108</v>
      </c>
      <c r="C156" s="64">
        <v>4</v>
      </c>
      <c r="D156" s="65">
        <v>0.67638888888888893</v>
      </c>
      <c r="E156" s="65">
        <v>4.8611111111110938E-3</v>
      </c>
      <c r="F156" s="65">
        <v>4.8611111111111112E-3</v>
      </c>
      <c r="G156" s="65">
        <v>2.4305555555555556E-2</v>
      </c>
      <c r="H156" s="65">
        <v>0.70069444444444451</v>
      </c>
      <c r="I156" s="65">
        <v>0</v>
      </c>
      <c r="J156" s="65"/>
      <c r="K156" s="65">
        <v>0.67638888888888893</v>
      </c>
      <c r="L156" s="66">
        <v>2.430555555555558E-2</v>
      </c>
      <c r="M156" s="74" t="s">
        <v>112</v>
      </c>
      <c r="N156" s="79">
        <v>2</v>
      </c>
    </row>
    <row r="157" spans="1:14" hidden="1" x14ac:dyDescent="0.35">
      <c r="A157" s="62"/>
      <c r="B157" s="63" t="s">
        <v>109</v>
      </c>
      <c r="C157" s="64">
        <v>1</v>
      </c>
      <c r="D157" s="65">
        <v>0.67638888888888915</v>
      </c>
      <c r="E157" s="65">
        <v>4.8611111111114269E-3</v>
      </c>
      <c r="F157" s="65">
        <v>4.8611111111111112E-3</v>
      </c>
      <c r="G157" s="65">
        <v>2.4305555555555556E-2</v>
      </c>
      <c r="H157" s="65">
        <v>0.70069444444444473</v>
      </c>
      <c r="I157" s="65">
        <v>0</v>
      </c>
      <c r="J157" s="65"/>
      <c r="K157" s="65">
        <v>0.67638888888888915</v>
      </c>
      <c r="L157" s="66">
        <v>2.430555555555558E-2</v>
      </c>
      <c r="M157" s="77" t="s">
        <v>112</v>
      </c>
      <c r="N157" s="79">
        <v>2</v>
      </c>
    </row>
    <row r="158" spans="1:14" x14ac:dyDescent="0.35">
      <c r="A158" s="62"/>
      <c r="B158" s="63" t="s">
        <v>108</v>
      </c>
      <c r="C158" s="64">
        <v>10</v>
      </c>
      <c r="D158" s="65">
        <v>0.68125000000000002</v>
      </c>
      <c r="E158" s="65">
        <v>4.8611111111110938E-3</v>
      </c>
      <c r="F158" s="65">
        <v>4.8611111111111112E-3</v>
      </c>
      <c r="G158" s="65">
        <v>2.4305555555555556E-2</v>
      </c>
      <c r="H158" s="65">
        <v>0.7055555555555556</v>
      </c>
      <c r="I158" s="65">
        <v>0</v>
      </c>
      <c r="J158" s="65"/>
      <c r="K158" s="65">
        <v>0.68125000000000002</v>
      </c>
      <c r="L158" s="66">
        <v>2.430555555555558E-2</v>
      </c>
      <c r="M158" s="74" t="s">
        <v>112</v>
      </c>
      <c r="N158" s="79">
        <v>2</v>
      </c>
    </row>
    <row r="159" spans="1:14" hidden="1" x14ac:dyDescent="0.35">
      <c r="A159" s="62"/>
      <c r="B159" s="63" t="s">
        <v>109</v>
      </c>
      <c r="C159" s="64">
        <v>9</v>
      </c>
      <c r="D159" s="65">
        <v>0.68125000000000002</v>
      </c>
      <c r="E159" s="65">
        <v>4.8611111111108718E-3</v>
      </c>
      <c r="F159" s="65">
        <v>4.8611111111111112E-3</v>
      </c>
      <c r="G159" s="65">
        <v>2.4305555555555556E-2</v>
      </c>
      <c r="H159" s="65">
        <v>0.7055555555555556</v>
      </c>
      <c r="I159" s="65">
        <v>0</v>
      </c>
      <c r="J159" s="65"/>
      <c r="K159" s="65">
        <v>0.68125000000000002</v>
      </c>
      <c r="L159" s="66">
        <v>2.430555555555558E-2</v>
      </c>
      <c r="M159" s="74" t="s">
        <v>114</v>
      </c>
      <c r="N159" s="79">
        <v>2</v>
      </c>
    </row>
    <row r="160" spans="1:14" hidden="1" x14ac:dyDescent="0.35">
      <c r="A160" s="62"/>
      <c r="B160" s="63" t="s">
        <v>108</v>
      </c>
      <c r="C160" s="64">
        <v>8</v>
      </c>
      <c r="D160" s="65">
        <v>0.68611111111111112</v>
      </c>
      <c r="E160" s="65">
        <v>4.8611111111110938E-3</v>
      </c>
      <c r="F160" s="65">
        <v>4.8611111111111112E-3</v>
      </c>
      <c r="G160" s="65">
        <v>2.4305555555555556E-2</v>
      </c>
      <c r="H160" s="65">
        <v>0.7104166666666667</v>
      </c>
      <c r="I160" s="65">
        <v>0</v>
      </c>
      <c r="J160" s="65"/>
      <c r="K160" s="65">
        <v>0.68611111111111112</v>
      </c>
      <c r="L160" s="66">
        <v>2.430555555555558E-2</v>
      </c>
      <c r="M160" s="74" t="s">
        <v>114</v>
      </c>
      <c r="N160" s="79">
        <v>2</v>
      </c>
    </row>
    <row r="161" spans="1:14" hidden="1" x14ac:dyDescent="0.35">
      <c r="A161" s="62"/>
      <c r="B161" s="63" t="s">
        <v>109</v>
      </c>
      <c r="C161" s="64">
        <v>2</v>
      </c>
      <c r="D161" s="65">
        <v>0.68611111111111112</v>
      </c>
      <c r="E161" s="65">
        <v>4.8611111111110938E-3</v>
      </c>
      <c r="F161" s="65">
        <v>4.8611111111111112E-3</v>
      </c>
      <c r="G161" s="65">
        <v>2.4305555555555556E-2</v>
      </c>
      <c r="H161" s="65">
        <v>0.7104166666666667</v>
      </c>
      <c r="I161" s="65">
        <v>0</v>
      </c>
      <c r="J161" s="65"/>
      <c r="K161" s="65">
        <v>0.68611111111111112</v>
      </c>
      <c r="L161" s="66">
        <v>2.430555555555558E-2</v>
      </c>
      <c r="M161" s="74" t="s">
        <v>112</v>
      </c>
      <c r="N161" s="79">
        <v>2</v>
      </c>
    </row>
    <row r="162" spans="1:14" hidden="1" x14ac:dyDescent="0.35">
      <c r="A162" s="62"/>
      <c r="B162" s="63" t="s">
        <v>108</v>
      </c>
      <c r="C162" s="64">
        <v>6</v>
      </c>
      <c r="D162" s="65">
        <v>0.69097222222222221</v>
      </c>
      <c r="E162" s="65">
        <v>4.8611111111110938E-3</v>
      </c>
      <c r="F162" s="65">
        <v>4.8611111111111112E-3</v>
      </c>
      <c r="G162" s="65">
        <v>2.4305555555555556E-2</v>
      </c>
      <c r="H162" s="65">
        <v>0.71527777777777779</v>
      </c>
      <c r="I162" s="65">
        <v>0</v>
      </c>
      <c r="J162" s="65"/>
      <c r="K162" s="65">
        <v>0.69097222222222221</v>
      </c>
      <c r="L162" s="66">
        <v>2.430555555555558E-2</v>
      </c>
      <c r="M162" s="74" t="s">
        <v>112</v>
      </c>
      <c r="N162" s="79">
        <v>2</v>
      </c>
    </row>
    <row r="163" spans="1:14" hidden="1" x14ac:dyDescent="0.35">
      <c r="A163" s="62"/>
      <c r="B163" s="63" t="s">
        <v>109</v>
      </c>
      <c r="C163" s="64">
        <v>3</v>
      </c>
      <c r="D163" s="65">
        <v>0.69097222222222232</v>
      </c>
      <c r="E163" s="65">
        <v>4.8611111111112049E-3</v>
      </c>
      <c r="F163" s="65">
        <v>4.8611111111111112E-3</v>
      </c>
      <c r="G163" s="65">
        <v>2.4305555555555556E-2</v>
      </c>
      <c r="H163" s="65">
        <v>0.7152777777777779</v>
      </c>
      <c r="I163" s="65">
        <v>0</v>
      </c>
      <c r="J163" s="65"/>
      <c r="K163" s="65">
        <v>0.69097222222222232</v>
      </c>
      <c r="L163" s="66">
        <v>2.430555555555558E-2</v>
      </c>
      <c r="M163" s="74" t="s">
        <v>112</v>
      </c>
      <c r="N163" s="79">
        <v>2</v>
      </c>
    </row>
    <row r="164" spans="1:14" hidden="1" x14ac:dyDescent="0.35">
      <c r="A164" s="62"/>
      <c r="B164" s="63" t="s">
        <v>108</v>
      </c>
      <c r="C164" s="64">
        <v>7</v>
      </c>
      <c r="D164" s="65">
        <v>0.6958333333333333</v>
      </c>
      <c r="E164" s="65">
        <v>4.8611111111110938E-3</v>
      </c>
      <c r="F164" s="65">
        <v>4.8611111111111112E-3</v>
      </c>
      <c r="G164" s="65">
        <v>2.4305555555555556E-2</v>
      </c>
      <c r="H164" s="65">
        <v>0.72013888888888888</v>
      </c>
      <c r="I164" s="65">
        <v>0</v>
      </c>
      <c r="J164" s="65"/>
      <c r="K164" s="65">
        <v>0.6958333333333333</v>
      </c>
      <c r="L164" s="66">
        <v>2.430555555555558E-2</v>
      </c>
      <c r="M164" s="74" t="s">
        <v>112</v>
      </c>
      <c r="N164" s="79">
        <v>2</v>
      </c>
    </row>
    <row r="165" spans="1:14" hidden="1" x14ac:dyDescent="0.35">
      <c r="A165" s="62"/>
      <c r="B165" s="63" t="s">
        <v>109</v>
      </c>
      <c r="C165" s="64">
        <v>5</v>
      </c>
      <c r="D165" s="65">
        <v>0.69583333333333341</v>
      </c>
      <c r="E165" s="65">
        <v>4.8611111111110938E-3</v>
      </c>
      <c r="F165" s="65">
        <v>4.8611111111111112E-3</v>
      </c>
      <c r="G165" s="65">
        <v>2.4305555555555556E-2</v>
      </c>
      <c r="H165" s="65">
        <v>0.72013888888888899</v>
      </c>
      <c r="I165" s="65">
        <v>0</v>
      </c>
      <c r="J165" s="65"/>
      <c r="K165" s="65">
        <v>0.69583333333333341</v>
      </c>
      <c r="L165" s="66">
        <v>2.430555555555558E-2</v>
      </c>
      <c r="M165" s="74" t="s">
        <v>114</v>
      </c>
      <c r="N165" s="79">
        <v>2</v>
      </c>
    </row>
    <row r="166" spans="1:14" hidden="1" x14ac:dyDescent="0.35">
      <c r="A166" s="62"/>
      <c r="B166" s="63" t="s">
        <v>109</v>
      </c>
      <c r="C166" s="64">
        <v>4</v>
      </c>
      <c r="D166" s="65">
        <v>0.70069444444444451</v>
      </c>
      <c r="E166" s="65">
        <v>4.8611111111110938E-3</v>
      </c>
      <c r="F166" s="65">
        <v>4.8611111111111112E-3</v>
      </c>
      <c r="G166" s="65">
        <v>2.4305555555555556E-2</v>
      </c>
      <c r="H166" s="65">
        <v>0.72500000000000009</v>
      </c>
      <c r="I166" s="65">
        <v>0</v>
      </c>
      <c r="J166" s="65"/>
      <c r="K166" s="65">
        <v>0.70069444444444451</v>
      </c>
      <c r="L166" s="66">
        <v>2.430555555555558E-2</v>
      </c>
      <c r="M166" s="74" t="s">
        <v>112</v>
      </c>
      <c r="N166" s="79">
        <v>2</v>
      </c>
    </row>
    <row r="167" spans="1:14" hidden="1" x14ac:dyDescent="0.35">
      <c r="A167" s="62"/>
      <c r="B167" s="63" t="s">
        <v>108</v>
      </c>
      <c r="C167" s="64">
        <v>1</v>
      </c>
      <c r="D167" s="65">
        <v>0.70069444444444473</v>
      </c>
      <c r="E167" s="65">
        <v>4.8611111111114269E-3</v>
      </c>
      <c r="F167" s="65">
        <v>4.8611111111111112E-3</v>
      </c>
      <c r="G167" s="65">
        <v>2.4305555555555556E-2</v>
      </c>
      <c r="H167" s="65">
        <v>0.72500000000000031</v>
      </c>
      <c r="I167" s="65">
        <v>0</v>
      </c>
      <c r="J167" s="65"/>
      <c r="K167" s="65">
        <v>0.70069444444444473</v>
      </c>
      <c r="L167" s="66">
        <v>2.430555555555558E-2</v>
      </c>
      <c r="M167" s="77" t="s">
        <v>112</v>
      </c>
      <c r="N167" s="79">
        <v>2</v>
      </c>
    </row>
    <row r="168" spans="1:14" hidden="1" x14ac:dyDescent="0.35">
      <c r="A168" s="62"/>
      <c r="B168" s="63" t="s">
        <v>108</v>
      </c>
      <c r="C168" s="64">
        <v>9</v>
      </c>
      <c r="D168" s="65">
        <v>0.7055555555555556</v>
      </c>
      <c r="E168" s="65">
        <v>4.8611111111108718E-3</v>
      </c>
      <c r="F168" s="65">
        <v>4.8611111111111112E-3</v>
      </c>
      <c r="G168" s="65">
        <v>2.4305555555555556E-2</v>
      </c>
      <c r="H168" s="65">
        <v>0.72986111111111118</v>
      </c>
      <c r="I168" s="65">
        <v>0</v>
      </c>
      <c r="J168" s="65"/>
      <c r="K168" s="65">
        <v>0.7055555555555556</v>
      </c>
      <c r="L168" s="66">
        <v>2.430555555555558E-2</v>
      </c>
      <c r="M168" s="74" t="s">
        <v>114</v>
      </c>
      <c r="N168" s="79">
        <v>2</v>
      </c>
    </row>
    <row r="169" spans="1:14" x14ac:dyDescent="0.35">
      <c r="A169" s="62"/>
      <c r="B169" s="63" t="s">
        <v>109</v>
      </c>
      <c r="C169" s="64">
        <v>10</v>
      </c>
      <c r="D169" s="65">
        <v>0.7055555555555556</v>
      </c>
      <c r="E169" s="65">
        <v>4.8611111111110938E-3</v>
      </c>
      <c r="F169" s="65">
        <v>4.8611111111111112E-3</v>
      </c>
      <c r="G169" s="65">
        <v>2.4305555555555556E-2</v>
      </c>
      <c r="H169" s="65">
        <v>0.72986111111111118</v>
      </c>
      <c r="I169" s="65">
        <v>0</v>
      </c>
      <c r="J169" s="65"/>
      <c r="K169" s="65">
        <v>0.7055555555555556</v>
      </c>
      <c r="L169" s="66">
        <v>2.430555555555558E-2</v>
      </c>
      <c r="M169" s="74" t="s">
        <v>112</v>
      </c>
      <c r="N169" s="79">
        <v>2</v>
      </c>
    </row>
    <row r="170" spans="1:14" hidden="1" x14ac:dyDescent="0.35">
      <c r="A170" s="62"/>
      <c r="B170" s="63" t="s">
        <v>108</v>
      </c>
      <c r="C170" s="64">
        <v>2</v>
      </c>
      <c r="D170" s="65">
        <v>0.7104166666666667</v>
      </c>
      <c r="E170" s="65">
        <v>4.8611111111110938E-3</v>
      </c>
      <c r="F170" s="65">
        <v>4.8611111111111112E-3</v>
      </c>
      <c r="G170" s="65">
        <v>2.4305555555555556E-2</v>
      </c>
      <c r="H170" s="65">
        <v>0.73472222222222228</v>
      </c>
      <c r="I170" s="65">
        <v>0</v>
      </c>
      <c r="J170" s="65"/>
      <c r="K170" s="65">
        <v>0.7104166666666667</v>
      </c>
      <c r="L170" s="66">
        <v>2.430555555555558E-2</v>
      </c>
      <c r="M170" s="74" t="s">
        <v>112</v>
      </c>
      <c r="N170" s="79">
        <v>2</v>
      </c>
    </row>
    <row r="171" spans="1:14" hidden="1" x14ac:dyDescent="0.35">
      <c r="A171" s="62"/>
      <c r="B171" s="63" t="s">
        <v>109</v>
      </c>
      <c r="C171" s="64">
        <v>8</v>
      </c>
      <c r="D171" s="65">
        <v>0.7104166666666667</v>
      </c>
      <c r="E171" s="65">
        <v>4.8611111111110938E-3</v>
      </c>
      <c r="F171" s="65">
        <v>4.8611111111111103E-3</v>
      </c>
      <c r="G171" s="65">
        <v>2.4305555555555556E-2</v>
      </c>
      <c r="H171" s="65">
        <v>0.73472222222222228</v>
      </c>
      <c r="I171" s="65">
        <v>0</v>
      </c>
      <c r="J171" s="65"/>
      <c r="K171" s="65">
        <v>0.7104166666666667</v>
      </c>
      <c r="L171" s="66">
        <v>2.430555555555558E-2</v>
      </c>
      <c r="M171" s="74" t="s">
        <v>114</v>
      </c>
      <c r="N171" s="79">
        <v>2</v>
      </c>
    </row>
    <row r="172" spans="1:14" hidden="1" x14ac:dyDescent="0.35">
      <c r="A172" s="69"/>
      <c r="B172" s="65" t="s">
        <v>109</v>
      </c>
      <c r="C172" s="64">
        <v>6</v>
      </c>
      <c r="D172" s="65">
        <v>0.71527777777777779</v>
      </c>
      <c r="E172" s="65">
        <v>4.8611111111110938E-3</v>
      </c>
      <c r="F172" s="65">
        <v>4.8611111111111103E-3</v>
      </c>
      <c r="G172" s="65">
        <v>2.4305555555555556E-2</v>
      </c>
      <c r="H172" s="65">
        <v>0.73958333333333337</v>
      </c>
      <c r="I172" s="65">
        <v>0</v>
      </c>
      <c r="J172" s="65"/>
      <c r="K172" s="65">
        <v>0.71527777777777779</v>
      </c>
      <c r="L172" s="66">
        <v>2.430555555555558E-2</v>
      </c>
      <c r="M172" s="74" t="s">
        <v>112</v>
      </c>
      <c r="N172" s="79">
        <v>2</v>
      </c>
    </row>
    <row r="173" spans="1:14" hidden="1" x14ac:dyDescent="0.35">
      <c r="A173" s="62"/>
      <c r="B173" s="63" t="s">
        <v>108</v>
      </c>
      <c r="C173" s="64">
        <v>3</v>
      </c>
      <c r="D173" s="65">
        <v>0.7152777777777779</v>
      </c>
      <c r="E173" s="65">
        <v>4.8611111111112049E-3</v>
      </c>
      <c r="F173" s="65">
        <v>4.8611111111111112E-3</v>
      </c>
      <c r="G173" s="65">
        <v>2.4305555555555556E-2</v>
      </c>
      <c r="H173" s="65">
        <v>0.73958333333333348</v>
      </c>
      <c r="I173" s="65">
        <v>0</v>
      </c>
      <c r="J173" s="65"/>
      <c r="K173" s="65">
        <v>0.7152777777777779</v>
      </c>
      <c r="L173" s="66">
        <v>2.430555555555558E-2</v>
      </c>
      <c r="M173" s="74" t="s">
        <v>112</v>
      </c>
      <c r="N173" s="79">
        <v>2</v>
      </c>
    </row>
    <row r="174" spans="1:14" hidden="1" x14ac:dyDescent="0.35">
      <c r="A174" s="62"/>
      <c r="B174" s="63" t="s">
        <v>109</v>
      </c>
      <c r="C174" s="64">
        <v>7</v>
      </c>
      <c r="D174" s="65">
        <v>0.72013888888888888</v>
      </c>
      <c r="E174" s="65">
        <v>4.8611111111110938E-3</v>
      </c>
      <c r="F174" s="65">
        <v>4.8611111111111103E-3</v>
      </c>
      <c r="G174" s="65">
        <v>2.4305555555555556E-2</v>
      </c>
      <c r="H174" s="65">
        <v>0.74444444444444446</v>
      </c>
      <c r="I174" s="65">
        <v>0</v>
      </c>
      <c r="J174" s="65"/>
      <c r="K174" s="65">
        <v>0.72013888888888888</v>
      </c>
      <c r="L174" s="66">
        <v>2.430555555555558E-2</v>
      </c>
      <c r="M174" s="74" t="s">
        <v>112</v>
      </c>
      <c r="N174" s="79">
        <v>2</v>
      </c>
    </row>
    <row r="175" spans="1:14" hidden="1" x14ac:dyDescent="0.35">
      <c r="A175" s="62"/>
      <c r="B175" s="63" t="s">
        <v>108</v>
      </c>
      <c r="C175" s="64">
        <v>5</v>
      </c>
      <c r="D175" s="65">
        <v>0.72013888888888899</v>
      </c>
      <c r="E175" s="65">
        <v>4.8611111111110938E-3</v>
      </c>
      <c r="F175" s="65">
        <v>4.8611111111111112E-3</v>
      </c>
      <c r="G175" s="65">
        <v>2.4305555555555556E-2</v>
      </c>
      <c r="H175" s="65">
        <v>0.74444444444444458</v>
      </c>
      <c r="I175" s="65">
        <v>0</v>
      </c>
      <c r="J175" s="65"/>
      <c r="K175" s="65">
        <v>0.72013888888888899</v>
      </c>
      <c r="L175" s="66">
        <v>2.430555555555558E-2</v>
      </c>
      <c r="M175" s="74" t="s">
        <v>114</v>
      </c>
      <c r="N175" s="79">
        <v>2</v>
      </c>
    </row>
    <row r="176" spans="1:14" hidden="1" x14ac:dyDescent="0.35">
      <c r="A176" s="62"/>
      <c r="B176" s="63" t="s">
        <v>108</v>
      </c>
      <c r="C176" s="64">
        <v>4</v>
      </c>
      <c r="D176" s="65">
        <v>0.72500000000000009</v>
      </c>
      <c r="E176" s="65">
        <v>4.8611111111110938E-3</v>
      </c>
      <c r="F176" s="65">
        <v>4.8611111111111112E-3</v>
      </c>
      <c r="G176" s="65">
        <v>2.4305555555555556E-2</v>
      </c>
      <c r="H176" s="65">
        <v>0.74930555555555567</v>
      </c>
      <c r="I176" s="65">
        <v>0</v>
      </c>
      <c r="J176" s="65"/>
      <c r="K176" s="65">
        <v>0.72500000000000009</v>
      </c>
      <c r="L176" s="66">
        <v>2.430555555555558E-2</v>
      </c>
      <c r="M176" s="74" t="s">
        <v>112</v>
      </c>
      <c r="N176" s="79">
        <v>2</v>
      </c>
    </row>
    <row r="177" spans="1:14" hidden="1" x14ac:dyDescent="0.35">
      <c r="A177" s="62"/>
      <c r="B177" s="63" t="s">
        <v>109</v>
      </c>
      <c r="C177" s="64">
        <v>1</v>
      </c>
      <c r="D177" s="65">
        <v>0.72500000000000031</v>
      </c>
      <c r="E177" s="65">
        <v>4.8611111111114269E-3</v>
      </c>
      <c r="F177" s="65">
        <v>4.8611111111111103E-3</v>
      </c>
      <c r="G177" s="65">
        <v>2.4305555555555556E-2</v>
      </c>
      <c r="H177" s="65">
        <v>0.74930555555555589</v>
      </c>
      <c r="I177" s="65">
        <v>0</v>
      </c>
      <c r="J177" s="65"/>
      <c r="K177" s="65">
        <v>0.72500000000000031</v>
      </c>
      <c r="L177" s="66">
        <v>2.430555555555558E-2</v>
      </c>
      <c r="M177" s="77" t="s">
        <v>112</v>
      </c>
      <c r="N177" s="79">
        <v>2</v>
      </c>
    </row>
    <row r="178" spans="1:14" x14ac:dyDescent="0.35">
      <c r="A178" s="68"/>
      <c r="B178" s="65" t="s">
        <v>108</v>
      </c>
      <c r="C178" s="64">
        <v>10</v>
      </c>
      <c r="D178" s="65">
        <v>0.72986111111111118</v>
      </c>
      <c r="E178" s="65">
        <v>4.8611111111110938E-3</v>
      </c>
      <c r="F178" s="65">
        <v>4.8611111111111112E-3</v>
      </c>
      <c r="G178" s="65">
        <v>2.4305555555555556E-2</v>
      </c>
      <c r="H178" s="65">
        <v>0.75416666666666676</v>
      </c>
      <c r="I178" s="65">
        <v>0</v>
      </c>
      <c r="J178" s="65"/>
      <c r="K178" s="65">
        <v>0.72986111111111118</v>
      </c>
      <c r="L178" s="66">
        <v>2.430555555555558E-2</v>
      </c>
      <c r="M178" s="74" t="s">
        <v>112</v>
      </c>
      <c r="N178" s="79">
        <v>2</v>
      </c>
    </row>
    <row r="179" spans="1:14" hidden="1" x14ac:dyDescent="0.35">
      <c r="A179" s="62"/>
      <c r="B179" s="63" t="s">
        <v>109</v>
      </c>
      <c r="C179" s="64">
        <v>9</v>
      </c>
      <c r="D179" s="65">
        <v>0.72986111111111118</v>
      </c>
      <c r="E179" s="65">
        <v>4.8611111111108718E-3</v>
      </c>
      <c r="F179" s="65">
        <v>4.8611111111111103E-3</v>
      </c>
      <c r="G179" s="65">
        <v>2.4305555555555556E-2</v>
      </c>
      <c r="H179" s="65">
        <v>0.75416666666666676</v>
      </c>
      <c r="I179" s="65">
        <v>0</v>
      </c>
      <c r="J179" s="65"/>
      <c r="K179" s="65">
        <v>0.72986111111111118</v>
      </c>
      <c r="L179" s="66">
        <v>2.430555555555558E-2</v>
      </c>
      <c r="M179" s="74" t="s">
        <v>114</v>
      </c>
      <c r="N179" s="79">
        <v>2</v>
      </c>
    </row>
    <row r="180" spans="1:14" hidden="1" x14ac:dyDescent="0.35">
      <c r="A180" s="62"/>
      <c r="B180" s="63" t="s">
        <v>108</v>
      </c>
      <c r="C180" s="64">
        <v>8</v>
      </c>
      <c r="D180" s="65">
        <v>0.73472222222222228</v>
      </c>
      <c r="E180" s="65">
        <v>4.8611111111110938E-3</v>
      </c>
      <c r="F180" s="65">
        <v>4.8611111111111112E-3</v>
      </c>
      <c r="G180" s="65">
        <v>2.4305555555555556E-2</v>
      </c>
      <c r="H180" s="65">
        <v>0.75902777777777786</v>
      </c>
      <c r="I180" s="65">
        <v>0</v>
      </c>
      <c r="J180" s="65"/>
      <c r="K180" s="65">
        <v>0.73472222222222228</v>
      </c>
      <c r="L180" s="66">
        <v>2.430555555555558E-2</v>
      </c>
      <c r="M180" s="74" t="s">
        <v>114</v>
      </c>
      <c r="N180" s="79">
        <v>2</v>
      </c>
    </row>
    <row r="181" spans="1:14" hidden="1" x14ac:dyDescent="0.35">
      <c r="A181" s="62"/>
      <c r="B181" s="63" t="s">
        <v>109</v>
      </c>
      <c r="C181" s="64">
        <v>2</v>
      </c>
      <c r="D181" s="65">
        <v>0.73472222222222228</v>
      </c>
      <c r="E181" s="65">
        <v>4.8611111111110938E-3</v>
      </c>
      <c r="F181" s="65">
        <v>4.8611111111111103E-3</v>
      </c>
      <c r="G181" s="65">
        <v>2.4305555555555556E-2</v>
      </c>
      <c r="H181" s="65">
        <v>0.75902777777777786</v>
      </c>
      <c r="I181" s="65">
        <v>0</v>
      </c>
      <c r="J181" s="65"/>
      <c r="K181" s="65">
        <v>0.73472222222222228</v>
      </c>
      <c r="L181" s="66">
        <v>2.430555555555558E-2</v>
      </c>
      <c r="M181" s="74" t="s">
        <v>112</v>
      </c>
      <c r="N181" s="79">
        <v>2</v>
      </c>
    </row>
    <row r="182" spans="1:14" hidden="1" x14ac:dyDescent="0.35">
      <c r="A182" s="62"/>
      <c r="B182" s="63" t="s">
        <v>108</v>
      </c>
      <c r="C182" s="64">
        <v>6</v>
      </c>
      <c r="D182" s="65">
        <v>0.73958333333333337</v>
      </c>
      <c r="E182" s="65">
        <v>4.8611111111110938E-3</v>
      </c>
      <c r="F182" s="65">
        <v>4.8611111111111112E-3</v>
      </c>
      <c r="G182" s="65">
        <v>2.4305555555555556E-2</v>
      </c>
      <c r="H182" s="65">
        <v>0.76388888888888895</v>
      </c>
      <c r="I182" s="65">
        <v>0</v>
      </c>
      <c r="J182" s="65"/>
      <c r="K182" s="65">
        <v>0.73958333333333337</v>
      </c>
      <c r="L182" s="66">
        <v>2.430555555555558E-2</v>
      </c>
      <c r="M182" s="74" t="s">
        <v>112</v>
      </c>
      <c r="N182" s="79">
        <v>2</v>
      </c>
    </row>
    <row r="183" spans="1:14" hidden="1" x14ac:dyDescent="0.35">
      <c r="A183" s="62"/>
      <c r="B183" s="63" t="s">
        <v>109</v>
      </c>
      <c r="C183" s="64">
        <v>3</v>
      </c>
      <c r="D183" s="65">
        <v>0.73958333333333348</v>
      </c>
      <c r="E183" s="65">
        <v>4.8611111111112049E-3</v>
      </c>
      <c r="F183" s="65">
        <v>4.8611111111111103E-3</v>
      </c>
      <c r="G183" s="65">
        <v>2.4305555555555556E-2</v>
      </c>
      <c r="H183" s="65">
        <v>0.76388888888888906</v>
      </c>
      <c r="I183" s="65">
        <v>0</v>
      </c>
      <c r="J183" s="65"/>
      <c r="K183" s="65">
        <v>0.73958333333333348</v>
      </c>
      <c r="L183" s="66">
        <v>2.430555555555558E-2</v>
      </c>
      <c r="M183" s="74" t="s">
        <v>112</v>
      </c>
      <c r="N183" s="79">
        <v>2</v>
      </c>
    </row>
    <row r="184" spans="1:14" hidden="1" x14ac:dyDescent="0.35">
      <c r="A184" s="62"/>
      <c r="B184" s="63" t="s">
        <v>108</v>
      </c>
      <c r="C184" s="64">
        <v>7</v>
      </c>
      <c r="D184" s="65">
        <v>0.74444444444444446</v>
      </c>
      <c r="E184" s="65">
        <v>4.8611111111110938E-3</v>
      </c>
      <c r="F184" s="65">
        <v>4.8611111111111112E-3</v>
      </c>
      <c r="G184" s="65">
        <v>2.4305555555555556E-2</v>
      </c>
      <c r="H184" s="65">
        <v>0.76875000000000004</v>
      </c>
      <c r="I184" s="65">
        <v>0</v>
      </c>
      <c r="J184" s="65"/>
      <c r="K184" s="65">
        <v>0.74444444444444446</v>
      </c>
      <c r="L184" s="66">
        <v>2.430555555555558E-2</v>
      </c>
      <c r="M184" s="74" t="s">
        <v>112</v>
      </c>
      <c r="N184" s="79">
        <v>2</v>
      </c>
    </row>
    <row r="185" spans="1:14" hidden="1" x14ac:dyDescent="0.35">
      <c r="A185" s="62"/>
      <c r="B185" s="63" t="s">
        <v>109</v>
      </c>
      <c r="C185" s="64">
        <v>5</v>
      </c>
      <c r="D185" s="65">
        <v>0.74444444444444458</v>
      </c>
      <c r="E185" s="65">
        <v>4.8611111111110938E-3</v>
      </c>
      <c r="F185" s="65">
        <v>4.8611111111111103E-3</v>
      </c>
      <c r="G185" s="65">
        <v>2.4305555555555556E-2</v>
      </c>
      <c r="H185" s="65">
        <v>0.76875000000000016</v>
      </c>
      <c r="I185" s="65">
        <v>0</v>
      </c>
      <c r="J185" s="65"/>
      <c r="K185" s="65">
        <v>0.74444444444444458</v>
      </c>
      <c r="L185" s="66">
        <v>2.430555555555558E-2</v>
      </c>
      <c r="M185" s="74" t="s">
        <v>114</v>
      </c>
      <c r="N185" s="79">
        <v>2</v>
      </c>
    </row>
    <row r="186" spans="1:14" hidden="1" x14ac:dyDescent="0.35">
      <c r="B186" s="74" t="s">
        <v>109</v>
      </c>
      <c r="C186" s="64">
        <v>4</v>
      </c>
      <c r="D186" s="74">
        <v>0.74930555555555567</v>
      </c>
      <c r="E186" s="74">
        <v>4.8611111111110938E-3</v>
      </c>
      <c r="F186" s="74">
        <v>4.8611111111111103E-3</v>
      </c>
      <c r="G186" s="74">
        <v>2.4305555555555556E-2</v>
      </c>
      <c r="H186" s="74">
        <v>0.77361111111111125</v>
      </c>
      <c r="I186" s="74">
        <v>0</v>
      </c>
      <c r="J186" s="74"/>
      <c r="K186" s="74">
        <v>0.74930555555555567</v>
      </c>
      <c r="L186" s="66">
        <v>2.430555555555558E-2</v>
      </c>
      <c r="M186" s="74" t="s">
        <v>112</v>
      </c>
      <c r="N186" s="79">
        <v>2</v>
      </c>
    </row>
    <row r="187" spans="1:14" hidden="1" x14ac:dyDescent="0.35">
      <c r="A187" s="62"/>
      <c r="B187" s="63" t="s">
        <v>108</v>
      </c>
      <c r="C187" s="64">
        <v>1</v>
      </c>
      <c r="D187" s="65">
        <v>0.74930555555555589</v>
      </c>
      <c r="E187" s="65">
        <v>4.8611111111114269E-3</v>
      </c>
      <c r="F187" s="65">
        <v>4.8611111111111112E-3</v>
      </c>
      <c r="G187" s="65">
        <v>2.4305555555555556E-2</v>
      </c>
      <c r="H187" s="65">
        <v>0.77361111111111147</v>
      </c>
      <c r="I187" s="65">
        <v>0</v>
      </c>
      <c r="J187" s="65"/>
      <c r="K187" s="65">
        <v>0.74930555555555589</v>
      </c>
      <c r="L187" s="66">
        <v>2.430555555555558E-2</v>
      </c>
      <c r="M187" s="77" t="s">
        <v>112</v>
      </c>
      <c r="N187" s="79">
        <v>2</v>
      </c>
    </row>
    <row r="188" spans="1:14" hidden="1" x14ac:dyDescent="0.35">
      <c r="A188" s="62"/>
      <c r="B188" s="63" t="s">
        <v>108</v>
      </c>
      <c r="C188" s="64">
        <v>9</v>
      </c>
      <c r="D188" s="65">
        <v>0.75416666666666676</v>
      </c>
      <c r="E188" s="65">
        <v>4.8611111111108718E-3</v>
      </c>
      <c r="F188" s="65">
        <v>4.8611111111111112E-3</v>
      </c>
      <c r="G188" s="65">
        <v>2.4305555555555556E-2</v>
      </c>
      <c r="H188" s="65">
        <v>0.77847222222222234</v>
      </c>
      <c r="I188" s="65">
        <v>0</v>
      </c>
      <c r="J188" s="65"/>
      <c r="K188" s="65">
        <v>0.75416666666666676</v>
      </c>
      <c r="L188" s="66">
        <v>2.430555555555558E-2</v>
      </c>
      <c r="M188" s="74" t="s">
        <v>114</v>
      </c>
      <c r="N188" s="79">
        <v>2</v>
      </c>
    </row>
    <row r="189" spans="1:14" x14ac:dyDescent="0.35">
      <c r="A189" s="75"/>
      <c r="B189" s="74" t="s">
        <v>109</v>
      </c>
      <c r="C189" s="64">
        <v>10</v>
      </c>
      <c r="D189" s="74">
        <v>0.75416666666666676</v>
      </c>
      <c r="E189" s="74">
        <v>4.8611111111110938E-3</v>
      </c>
      <c r="F189" s="74">
        <v>4.8611111111111103E-3</v>
      </c>
      <c r="G189" s="74">
        <v>2.4305555555555556E-2</v>
      </c>
      <c r="H189" s="74">
        <v>0.77847222222222234</v>
      </c>
      <c r="I189" s="74">
        <v>0</v>
      </c>
      <c r="J189" s="74"/>
      <c r="K189" s="74">
        <v>0.75416666666666676</v>
      </c>
      <c r="L189" s="66">
        <v>2.430555555555558E-2</v>
      </c>
      <c r="M189" s="74" t="s">
        <v>112</v>
      </c>
      <c r="N189" s="79">
        <v>2</v>
      </c>
    </row>
    <row r="190" spans="1:14" hidden="1" x14ac:dyDescent="0.35">
      <c r="A190" s="62"/>
      <c r="B190" s="63" t="s">
        <v>108</v>
      </c>
      <c r="C190" s="64">
        <v>2</v>
      </c>
      <c r="D190" s="65">
        <v>0.75902777777777786</v>
      </c>
      <c r="E190" s="65">
        <v>4.8611111111110938E-3</v>
      </c>
      <c r="F190" s="65">
        <v>4.8611111111111112E-3</v>
      </c>
      <c r="G190" s="65">
        <v>2.4305555555555556E-2</v>
      </c>
      <c r="H190" s="65">
        <v>0.78333333333333344</v>
      </c>
      <c r="I190" s="65">
        <v>0</v>
      </c>
      <c r="J190" s="65"/>
      <c r="K190" s="65">
        <v>0.75902777777777786</v>
      </c>
      <c r="L190" s="66">
        <v>2.430555555555558E-2</v>
      </c>
      <c r="M190" s="74" t="s">
        <v>112</v>
      </c>
      <c r="N190" s="79">
        <v>2</v>
      </c>
    </row>
    <row r="191" spans="1:14" hidden="1" x14ac:dyDescent="0.35">
      <c r="A191" s="75"/>
      <c r="B191" s="74" t="s">
        <v>109</v>
      </c>
      <c r="C191" s="64">
        <v>8</v>
      </c>
      <c r="D191" s="74">
        <v>0.75902777777777786</v>
      </c>
      <c r="E191" s="74">
        <v>4.8611111111110938E-3</v>
      </c>
      <c r="F191" s="74">
        <v>4.8611111111111103E-3</v>
      </c>
      <c r="G191" s="74">
        <v>2.4305555555555556E-2</v>
      </c>
      <c r="H191" s="74">
        <v>0.78333333333333344</v>
      </c>
      <c r="I191" s="74">
        <v>0</v>
      </c>
      <c r="J191" s="74"/>
      <c r="K191" s="74">
        <v>0.75902777777777786</v>
      </c>
      <c r="L191" s="66">
        <v>2.430555555555558E-2</v>
      </c>
      <c r="M191" s="74" t="s">
        <v>114</v>
      </c>
      <c r="N191" s="79">
        <v>2</v>
      </c>
    </row>
    <row r="192" spans="1:14" hidden="1" x14ac:dyDescent="0.35">
      <c r="A192" s="75"/>
      <c r="B192" s="74" t="s">
        <v>109</v>
      </c>
      <c r="C192" s="64">
        <v>6</v>
      </c>
      <c r="D192" s="74">
        <v>0.76388888888888895</v>
      </c>
      <c r="E192" s="74">
        <v>4.8611111111110938E-3</v>
      </c>
      <c r="F192" s="74">
        <v>4.8611111111111103E-3</v>
      </c>
      <c r="G192" s="74">
        <v>2.4305555555555556E-2</v>
      </c>
      <c r="H192" s="74">
        <v>0.78819444444444453</v>
      </c>
      <c r="I192" s="74">
        <v>0</v>
      </c>
      <c r="J192" s="74"/>
      <c r="K192" s="74">
        <v>0.76388888888888895</v>
      </c>
      <c r="L192" s="66">
        <v>2.430555555555558E-2</v>
      </c>
      <c r="M192" s="74" t="s">
        <v>112</v>
      </c>
      <c r="N192" s="79">
        <v>2</v>
      </c>
    </row>
    <row r="193" spans="1:14" hidden="1" x14ac:dyDescent="0.35">
      <c r="A193" s="62"/>
      <c r="B193" s="63" t="s">
        <v>108</v>
      </c>
      <c r="C193" s="64">
        <v>3</v>
      </c>
      <c r="D193" s="65">
        <v>0.76388888888888906</v>
      </c>
      <c r="E193" s="65">
        <v>4.8611111111112049E-3</v>
      </c>
      <c r="F193" s="65">
        <v>4.8611111111111112E-3</v>
      </c>
      <c r="G193" s="65">
        <v>2.4305555555555556E-2</v>
      </c>
      <c r="H193" s="65">
        <v>0.78819444444444464</v>
      </c>
      <c r="I193" s="65">
        <v>0</v>
      </c>
      <c r="J193" s="65"/>
      <c r="K193" s="65">
        <v>0.76388888888888906</v>
      </c>
      <c r="L193" s="66">
        <v>2.430555555555558E-2</v>
      </c>
      <c r="M193" s="74" t="s">
        <v>112</v>
      </c>
      <c r="N193" s="79">
        <v>2</v>
      </c>
    </row>
    <row r="194" spans="1:14" hidden="1" x14ac:dyDescent="0.35">
      <c r="A194" s="75"/>
      <c r="B194" s="74" t="s">
        <v>109</v>
      </c>
      <c r="C194" s="64">
        <v>7</v>
      </c>
      <c r="D194" s="74">
        <v>0.76875000000000004</v>
      </c>
      <c r="E194" s="74">
        <v>4.8611111111110938E-3</v>
      </c>
      <c r="F194" s="74">
        <v>4.8611111111111103E-3</v>
      </c>
      <c r="G194" s="74">
        <v>2.4305555555555556E-2</v>
      </c>
      <c r="H194" s="74">
        <v>0.79305555555555562</v>
      </c>
      <c r="I194" s="74">
        <v>0</v>
      </c>
      <c r="J194" s="74"/>
      <c r="K194" s="74">
        <v>0.76875000000000004</v>
      </c>
      <c r="L194" s="66">
        <v>2.430555555555558E-2</v>
      </c>
      <c r="M194" s="74" t="s">
        <v>112</v>
      </c>
      <c r="N194" s="79">
        <v>2</v>
      </c>
    </row>
    <row r="195" spans="1:14" hidden="1" x14ac:dyDescent="0.35">
      <c r="A195" s="62" t="s">
        <v>70</v>
      </c>
      <c r="B195" s="63" t="s">
        <v>108</v>
      </c>
      <c r="C195" s="64">
        <v>5</v>
      </c>
      <c r="D195" s="65">
        <v>0.76875000000000016</v>
      </c>
      <c r="E195" s="65">
        <v>4.8611111111110938E-3</v>
      </c>
      <c r="F195" s="65">
        <v>4.8611111111111112E-3</v>
      </c>
      <c r="G195" s="65">
        <v>2.4305555555555556E-2</v>
      </c>
      <c r="H195" s="65">
        <v>0.79305555555555574</v>
      </c>
      <c r="I195" s="65">
        <v>0</v>
      </c>
      <c r="J195" s="65"/>
      <c r="K195" s="65">
        <v>0.76875000000000016</v>
      </c>
      <c r="L195" s="66">
        <v>2.430555555555558E-2</v>
      </c>
      <c r="M195" s="74" t="s">
        <v>114</v>
      </c>
      <c r="N195" s="79">
        <v>2</v>
      </c>
    </row>
    <row r="196" spans="1:14" hidden="1" x14ac:dyDescent="0.35">
      <c r="A196" s="62"/>
      <c r="B196" s="63" t="s">
        <v>108</v>
      </c>
      <c r="C196" s="64">
        <v>4</v>
      </c>
      <c r="D196" s="65">
        <v>0.77361111111111125</v>
      </c>
      <c r="E196" s="65">
        <v>4.8611111111110938E-3</v>
      </c>
      <c r="F196" s="65">
        <v>4.8611111111111112E-3</v>
      </c>
      <c r="G196" s="65">
        <v>2.4305555555555556E-2</v>
      </c>
      <c r="H196" s="65">
        <v>0.79791666666666683</v>
      </c>
      <c r="I196" s="65">
        <v>0</v>
      </c>
      <c r="J196" s="65"/>
      <c r="K196" s="65">
        <v>0.77361111111111125</v>
      </c>
      <c r="L196" s="66">
        <v>2.430555555555558E-2</v>
      </c>
      <c r="M196" s="74" t="s">
        <v>112</v>
      </c>
      <c r="N196" s="79">
        <v>2</v>
      </c>
    </row>
    <row r="197" spans="1:14" hidden="1" x14ac:dyDescent="0.35">
      <c r="A197" s="75" t="s">
        <v>70</v>
      </c>
      <c r="B197" s="74" t="s">
        <v>109</v>
      </c>
      <c r="C197" s="64">
        <v>1</v>
      </c>
      <c r="D197" s="74">
        <v>0.77361111111111147</v>
      </c>
      <c r="E197" s="74">
        <v>4.8611111111114269E-3</v>
      </c>
      <c r="F197" s="74">
        <v>4.8611111111111103E-3</v>
      </c>
      <c r="G197" s="74">
        <v>2.4305555555555556E-2</v>
      </c>
      <c r="H197" s="74">
        <v>0.79791666666666705</v>
      </c>
      <c r="I197" s="74">
        <v>0</v>
      </c>
      <c r="J197" s="74"/>
      <c r="K197" s="74">
        <v>0.77361111111111147</v>
      </c>
      <c r="L197" s="66">
        <v>2.430555555555558E-2</v>
      </c>
      <c r="M197" s="77" t="s">
        <v>112</v>
      </c>
      <c r="N197" s="79">
        <v>2</v>
      </c>
    </row>
    <row r="198" spans="1:14" x14ac:dyDescent="0.35">
      <c r="A198" s="62" t="s">
        <v>70</v>
      </c>
      <c r="B198" s="63" t="s">
        <v>108</v>
      </c>
      <c r="C198" s="64">
        <v>10</v>
      </c>
      <c r="D198" s="65">
        <v>0.77847222222222234</v>
      </c>
      <c r="E198" s="65">
        <v>4.8611111111110938E-3</v>
      </c>
      <c r="F198" s="65">
        <v>4.8611111111111112E-3</v>
      </c>
      <c r="G198" s="65">
        <v>2.4305555555555556E-2</v>
      </c>
      <c r="H198" s="65">
        <v>0.80277777777777792</v>
      </c>
      <c r="I198" s="65">
        <v>0</v>
      </c>
      <c r="J198" s="65"/>
      <c r="K198" s="65">
        <v>0.77847222222222234</v>
      </c>
      <c r="L198" s="66">
        <v>2.430555555555558E-2</v>
      </c>
      <c r="M198" s="74" t="s">
        <v>112</v>
      </c>
      <c r="N198" s="79">
        <v>2</v>
      </c>
    </row>
    <row r="199" spans="1:14" hidden="1" x14ac:dyDescent="0.35">
      <c r="A199" s="75"/>
      <c r="B199" s="74" t="s">
        <v>109</v>
      </c>
      <c r="C199" s="64">
        <v>9</v>
      </c>
      <c r="D199" s="74">
        <v>0.77847222222222234</v>
      </c>
      <c r="E199" s="74">
        <v>4.8611111111108718E-3</v>
      </c>
      <c r="F199" s="74">
        <v>4.8611111111111103E-3</v>
      </c>
      <c r="G199" s="74">
        <v>2.4305555555555556E-2</v>
      </c>
      <c r="H199" s="74">
        <v>0.80277777777777792</v>
      </c>
      <c r="I199" s="74">
        <v>0</v>
      </c>
      <c r="J199" s="74"/>
      <c r="K199" s="74">
        <v>0.77847222222222234</v>
      </c>
      <c r="L199" s="66">
        <v>2.430555555555558E-2</v>
      </c>
      <c r="M199" s="74" t="s">
        <v>114</v>
      </c>
      <c r="N199" s="79">
        <v>2</v>
      </c>
    </row>
    <row r="200" spans="1:14" hidden="1" x14ac:dyDescent="0.35">
      <c r="A200" s="62"/>
      <c r="B200" s="63" t="s">
        <v>108</v>
      </c>
      <c r="C200" s="64">
        <v>8</v>
      </c>
      <c r="D200" s="65">
        <v>0.78333333333333344</v>
      </c>
      <c r="E200" s="65">
        <v>4.8611111111110938E-3</v>
      </c>
      <c r="F200" s="65">
        <v>4.8611111111111112E-3</v>
      </c>
      <c r="G200" s="65">
        <v>2.4305555555555556E-2</v>
      </c>
      <c r="H200" s="65">
        <v>0.80763888888888902</v>
      </c>
      <c r="I200" s="65">
        <v>0</v>
      </c>
      <c r="J200" s="65"/>
      <c r="K200" s="65">
        <v>0.78333333333333344</v>
      </c>
      <c r="L200" s="66">
        <v>2.430555555555558E-2</v>
      </c>
      <c r="M200" s="74" t="s">
        <v>114</v>
      </c>
      <c r="N200" s="79">
        <v>2</v>
      </c>
    </row>
    <row r="201" spans="1:14" hidden="1" x14ac:dyDescent="0.35">
      <c r="A201" s="31" t="s">
        <v>70</v>
      </c>
      <c r="B201" s="74" t="s">
        <v>109</v>
      </c>
      <c r="C201" s="64">
        <v>2</v>
      </c>
      <c r="D201" s="74">
        <v>0.78333333333333344</v>
      </c>
      <c r="E201" s="74">
        <v>4.8611111111110938E-3</v>
      </c>
      <c r="F201" s="74">
        <v>4.8611111111111103E-3</v>
      </c>
      <c r="G201" s="74">
        <v>2.4305555555555556E-2</v>
      </c>
      <c r="H201" s="74">
        <v>0.80763888888888902</v>
      </c>
      <c r="I201" s="74">
        <v>0</v>
      </c>
      <c r="J201" s="74"/>
      <c r="K201" s="74">
        <v>0.78333333333333344</v>
      </c>
      <c r="L201" s="66">
        <v>2.430555555555558E-2</v>
      </c>
      <c r="M201" s="74" t="s">
        <v>112</v>
      </c>
      <c r="N201" s="79">
        <v>2</v>
      </c>
    </row>
    <row r="202" spans="1:14" hidden="1" x14ac:dyDescent="0.35">
      <c r="A202" t="s">
        <v>70</v>
      </c>
      <c r="B202" s="63" t="s">
        <v>108</v>
      </c>
      <c r="C202" s="64">
        <v>6</v>
      </c>
      <c r="D202" s="65">
        <v>0.78819444444444453</v>
      </c>
      <c r="E202" s="65">
        <v>4.8611111111110938E-3</v>
      </c>
      <c r="F202" s="65">
        <v>4.8611111111111112E-3</v>
      </c>
      <c r="G202" s="65">
        <v>2.4305555555555556E-2</v>
      </c>
      <c r="H202" s="65">
        <v>0.81250000000000011</v>
      </c>
      <c r="I202" s="65">
        <v>0</v>
      </c>
      <c r="J202" s="65"/>
      <c r="K202" s="65">
        <v>0.78819444444444453</v>
      </c>
      <c r="L202" s="66">
        <v>2.430555555555558E-2</v>
      </c>
      <c r="M202" s="74" t="s">
        <v>112</v>
      </c>
      <c r="N202" s="79">
        <v>2</v>
      </c>
    </row>
    <row r="203" spans="1:14" hidden="1" x14ac:dyDescent="0.35">
      <c r="B203" s="74" t="s">
        <v>109</v>
      </c>
      <c r="C203" s="64">
        <v>3</v>
      </c>
      <c r="D203" s="74">
        <v>0.78819444444444464</v>
      </c>
      <c r="E203" s="74">
        <v>4.8611111111112049E-3</v>
      </c>
      <c r="F203" s="74">
        <v>4.8611111111111103E-3</v>
      </c>
      <c r="G203" s="74">
        <v>2.4305555555555556E-2</v>
      </c>
      <c r="H203" s="74">
        <v>0.81250000000000022</v>
      </c>
      <c r="I203" s="74">
        <v>0</v>
      </c>
      <c r="J203" s="74"/>
      <c r="K203" s="74">
        <v>0.78819444444444464</v>
      </c>
      <c r="L203" s="66">
        <v>2.430555555555558E-2</v>
      </c>
      <c r="M203" s="74" t="s">
        <v>112</v>
      </c>
      <c r="N203" s="79">
        <v>2</v>
      </c>
    </row>
    <row r="204" spans="1:14" hidden="1" x14ac:dyDescent="0.35">
      <c r="A204" s="22"/>
      <c r="B204" s="63" t="s">
        <v>108</v>
      </c>
      <c r="C204" s="64">
        <v>7</v>
      </c>
      <c r="D204" s="65">
        <v>0.79305555555555562</v>
      </c>
      <c r="E204" s="65">
        <v>4.8611111111110938E-3</v>
      </c>
      <c r="F204" s="65">
        <v>9.7222222222222224E-3</v>
      </c>
      <c r="G204" s="65">
        <v>2.4305555555555556E-2</v>
      </c>
      <c r="H204" s="65">
        <v>0.8173611111111112</v>
      </c>
      <c r="I204" s="65">
        <v>4.8611111111110938E-3</v>
      </c>
      <c r="J204" s="65"/>
      <c r="K204" s="65">
        <v>0.79791666666666672</v>
      </c>
      <c r="L204" s="66">
        <v>2.430555555555558E-2</v>
      </c>
      <c r="M204" s="74" t="s">
        <v>112</v>
      </c>
      <c r="N204" s="79">
        <v>2</v>
      </c>
    </row>
    <row r="205" spans="1:14" hidden="1" x14ac:dyDescent="0.35">
      <c r="B205" s="74" t="s">
        <v>109</v>
      </c>
      <c r="C205" s="64">
        <v>4</v>
      </c>
      <c r="D205" s="74">
        <v>0.79791666666666683</v>
      </c>
      <c r="E205" s="74">
        <v>9.7222222222221877E-3</v>
      </c>
      <c r="F205" s="74">
        <v>9.7222222222222224E-3</v>
      </c>
      <c r="G205" s="74">
        <v>2.4305555555555556E-2</v>
      </c>
      <c r="H205" s="74">
        <v>0.82222222222222241</v>
      </c>
      <c r="I205" s="74">
        <v>0</v>
      </c>
      <c r="J205" s="74"/>
      <c r="K205" s="74">
        <v>0.79791666666666683</v>
      </c>
      <c r="L205" s="66">
        <v>2.430555555555558E-2</v>
      </c>
      <c r="M205" s="74" t="s">
        <v>112</v>
      </c>
      <c r="N205" s="79">
        <v>2</v>
      </c>
    </row>
    <row r="206" spans="1:14" hidden="1" x14ac:dyDescent="0.35">
      <c r="A206"/>
      <c r="B206" s="63" t="s">
        <v>108</v>
      </c>
      <c r="C206" s="64">
        <v>9</v>
      </c>
      <c r="D206" s="65">
        <v>0.80277777777777792</v>
      </c>
      <c r="E206" s="65">
        <v>9.7222222222222987E-3</v>
      </c>
      <c r="F206" s="65">
        <v>9.7222222222222224E-3</v>
      </c>
      <c r="G206" s="65">
        <v>2.4305555555555556E-2</v>
      </c>
      <c r="H206" s="65">
        <v>0.8270833333333335</v>
      </c>
      <c r="I206" s="65">
        <v>0</v>
      </c>
      <c r="J206" s="65"/>
      <c r="K206" s="65">
        <v>0.80277777777777792</v>
      </c>
      <c r="L206" s="66">
        <v>2.430555555555558E-2</v>
      </c>
      <c r="M206" s="74" t="s">
        <v>114</v>
      </c>
      <c r="N206" s="79">
        <v>2</v>
      </c>
    </row>
    <row r="207" spans="1:14" hidden="1" x14ac:dyDescent="0.35">
      <c r="B207" s="74" t="s">
        <v>109</v>
      </c>
      <c r="C207" s="64">
        <v>8</v>
      </c>
      <c r="D207" s="74">
        <v>0.80763888888888902</v>
      </c>
      <c r="E207" s="74">
        <v>9.7222222222221877E-3</v>
      </c>
      <c r="F207" s="74">
        <v>9.7222222222222224E-3</v>
      </c>
      <c r="G207" s="74">
        <v>2.4305555555555556E-2</v>
      </c>
      <c r="H207" s="74">
        <v>0.8319444444444446</v>
      </c>
      <c r="I207" s="74">
        <v>0</v>
      </c>
      <c r="J207" s="74"/>
      <c r="K207" s="74">
        <v>0.80763888888888902</v>
      </c>
      <c r="L207" s="66">
        <v>2.430555555555558E-2</v>
      </c>
      <c r="M207" s="74" t="s">
        <v>114</v>
      </c>
      <c r="N207" s="79">
        <v>2</v>
      </c>
    </row>
    <row r="208" spans="1:14" hidden="1" x14ac:dyDescent="0.35">
      <c r="A208" s="22"/>
      <c r="B208" s="63" t="s">
        <v>108</v>
      </c>
      <c r="C208" s="64">
        <v>3</v>
      </c>
      <c r="D208" s="76">
        <v>0.81250000000000022</v>
      </c>
      <c r="E208" s="65">
        <v>9.7222222222222987E-3</v>
      </c>
      <c r="F208" s="65">
        <v>9.7222222222222224E-3</v>
      </c>
      <c r="G208" s="65">
        <v>2.4305555555555556E-2</v>
      </c>
      <c r="H208" s="65">
        <v>0.8368055555555558</v>
      </c>
      <c r="I208" s="65">
        <v>0</v>
      </c>
      <c r="J208" s="65"/>
      <c r="K208" s="65">
        <v>0.81250000000000022</v>
      </c>
      <c r="L208" s="66">
        <v>2.430555555555558E-2</v>
      </c>
      <c r="M208" s="74" t="s">
        <v>112</v>
      </c>
      <c r="N208" s="79">
        <v>2</v>
      </c>
    </row>
    <row r="209" spans="1:14" hidden="1" x14ac:dyDescent="0.35">
      <c r="B209" s="74" t="s">
        <v>109</v>
      </c>
      <c r="C209" s="64">
        <v>7</v>
      </c>
      <c r="D209" s="74">
        <v>0.8173611111111112</v>
      </c>
      <c r="E209" s="74">
        <v>9.7222222222221877E-3</v>
      </c>
      <c r="F209" s="74">
        <v>9.7222222222222224E-3</v>
      </c>
      <c r="G209" s="74">
        <v>2.4305555555555556E-2</v>
      </c>
      <c r="H209" s="74">
        <v>0.84166666666666679</v>
      </c>
      <c r="I209" s="74">
        <v>0</v>
      </c>
      <c r="J209" s="74"/>
      <c r="K209" s="74">
        <v>0.8173611111111112</v>
      </c>
      <c r="L209" s="66">
        <v>2.430555555555558E-2</v>
      </c>
      <c r="M209" s="74" t="s">
        <v>112</v>
      </c>
      <c r="N209" s="79">
        <v>2</v>
      </c>
    </row>
    <row r="210" spans="1:14" hidden="1" x14ac:dyDescent="0.35">
      <c r="A210" t="s">
        <v>70</v>
      </c>
      <c r="B210" s="63" t="s">
        <v>108</v>
      </c>
      <c r="C210" s="64">
        <v>4</v>
      </c>
      <c r="D210" s="65">
        <v>0.82222222222222241</v>
      </c>
      <c r="E210" s="65">
        <v>9.7222222222221877E-3</v>
      </c>
      <c r="F210" s="65">
        <v>9.7222222222222224E-3</v>
      </c>
      <c r="G210" s="65">
        <v>2.4305555555555556E-2</v>
      </c>
      <c r="H210" s="65">
        <v>0.84652777777777799</v>
      </c>
      <c r="I210" s="65">
        <v>0</v>
      </c>
      <c r="J210" s="65"/>
      <c r="K210" s="65">
        <v>0.82222222222222241</v>
      </c>
      <c r="L210" s="66">
        <v>2.430555555555558E-2</v>
      </c>
      <c r="M210" s="74" t="s">
        <v>112</v>
      </c>
      <c r="N210" s="79">
        <v>2</v>
      </c>
    </row>
    <row r="211" spans="1:14" hidden="1" x14ac:dyDescent="0.35">
      <c r="A211" s="31" t="s">
        <v>70</v>
      </c>
      <c r="B211" s="74" t="s">
        <v>109</v>
      </c>
      <c r="C211" s="64">
        <v>9</v>
      </c>
      <c r="D211" s="74">
        <v>0.8270833333333335</v>
      </c>
      <c r="E211" s="74">
        <v>9.7222222222222987E-3</v>
      </c>
      <c r="F211" s="74">
        <v>9.7222222222222224E-3</v>
      </c>
      <c r="G211" s="74">
        <v>2.4305555555555556E-2</v>
      </c>
      <c r="H211" s="74">
        <v>0.85138888888888908</v>
      </c>
      <c r="I211" s="74">
        <v>0</v>
      </c>
      <c r="J211" s="74"/>
      <c r="K211" s="74">
        <v>0.8270833333333335</v>
      </c>
      <c r="L211" s="66">
        <v>2.430555555555558E-2</v>
      </c>
      <c r="M211" s="74" t="s">
        <v>114</v>
      </c>
      <c r="N211" s="79">
        <v>2</v>
      </c>
    </row>
    <row r="212" spans="1:14" hidden="1" x14ac:dyDescent="0.35">
      <c r="A212" t="s">
        <v>70</v>
      </c>
      <c r="B212" s="63" t="s">
        <v>108</v>
      </c>
      <c r="C212" s="64">
        <v>8</v>
      </c>
      <c r="D212" s="65">
        <v>0.8319444444444446</v>
      </c>
      <c r="E212" s="65">
        <v>9.7222222222221877E-3</v>
      </c>
      <c r="F212" s="65">
        <v>9.7222222222222224E-3</v>
      </c>
      <c r="G212" s="65">
        <v>2.4305555555555556E-2</v>
      </c>
      <c r="H212" s="65">
        <v>0.85625000000000018</v>
      </c>
      <c r="I212" s="65">
        <v>0</v>
      </c>
      <c r="J212" s="65"/>
      <c r="K212" s="65">
        <v>0.8319444444444446</v>
      </c>
      <c r="L212" s="66">
        <v>2.430555555555558E-2</v>
      </c>
      <c r="M212" s="74" t="s">
        <v>114</v>
      </c>
      <c r="N212" s="79">
        <v>2</v>
      </c>
    </row>
    <row r="213" spans="1:14" hidden="1" x14ac:dyDescent="0.35">
      <c r="A213" s="31" t="s">
        <v>70</v>
      </c>
      <c r="B213" s="74" t="s">
        <v>109</v>
      </c>
      <c r="C213" s="64">
        <v>3</v>
      </c>
      <c r="D213" s="74">
        <v>0.8368055555555558</v>
      </c>
      <c r="E213" s="74">
        <v>9.7222222222222987E-3</v>
      </c>
      <c r="F213" s="74">
        <v>9.7222222222222224E-3</v>
      </c>
      <c r="G213" s="74">
        <v>2.4305555555555556E-2</v>
      </c>
      <c r="H213" s="74">
        <v>0.86111111111111138</v>
      </c>
      <c r="I213" s="74">
        <v>0</v>
      </c>
      <c r="J213" s="74"/>
      <c r="K213" s="74">
        <v>0.8368055555555558</v>
      </c>
      <c r="L213" s="66">
        <v>2.430555555555558E-2</v>
      </c>
      <c r="M213" s="74" t="s">
        <v>112</v>
      </c>
      <c r="N213" s="79">
        <v>2</v>
      </c>
    </row>
    <row r="214" spans="1:14" hidden="1" x14ac:dyDescent="0.35">
      <c r="A214" t="s">
        <v>70</v>
      </c>
      <c r="B214" s="63" t="s">
        <v>108</v>
      </c>
      <c r="C214" s="64">
        <v>7</v>
      </c>
      <c r="D214" s="65">
        <v>0.84166666666666679</v>
      </c>
      <c r="E214" s="65">
        <v>9.7222222222221877E-3</v>
      </c>
      <c r="F214" s="65">
        <v>9.7222222222222224E-3</v>
      </c>
      <c r="G214" s="65">
        <v>2.4305555555555556E-2</v>
      </c>
      <c r="H214" s="65">
        <v>0.86597222222222237</v>
      </c>
      <c r="I214" s="65">
        <v>0</v>
      </c>
      <c r="J214" s="65"/>
      <c r="K214" s="65">
        <v>0.84166666666666679</v>
      </c>
      <c r="L214" s="66">
        <v>2.430555555555558E-2</v>
      </c>
      <c r="M214" s="74" t="s">
        <v>112</v>
      </c>
      <c r="N214" s="79">
        <v>2</v>
      </c>
    </row>
  </sheetData>
  <conditionalFormatting sqref="A1 A187:B200 B186 A104:B185">
    <cfRule type="containsText" dxfId="160" priority="7" operator="containsText" text="u">
      <formula>NOT(ISERROR(SEARCH("u",A1)))</formula>
    </cfRule>
    <cfRule type="containsText" dxfId="159" priority="8" operator="containsText" text="i">
      <formula>NOT(ISERROR(SEARCH("i",A1)))</formula>
    </cfRule>
  </conditionalFormatting>
  <conditionalFormatting sqref="A2:B103">
    <cfRule type="containsText" dxfId="158" priority="1" operator="containsText" text="u">
      <formula>NOT(ISERROR(SEARCH("u",A2)))</formula>
    </cfRule>
    <cfRule type="containsText" dxfId="157" priority="2" operator="containsText" text="i">
      <formula>NOT(ISERROR(SEARCH("i",A2)))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97BC-B034-4978-92CF-5FC3B60D6F8D}">
  <dimension ref="A3:F34"/>
  <sheetViews>
    <sheetView showGridLines="0" workbookViewId="0">
      <selection activeCell="D4" sqref="D4"/>
    </sheetView>
  </sheetViews>
  <sheetFormatPr baseColWidth="10" defaultRowHeight="14.5" x14ac:dyDescent="0.35"/>
  <cols>
    <col min="1" max="1" width="19" bestFit="1" customWidth="1"/>
    <col min="2" max="2" width="16.36328125" bestFit="1" customWidth="1"/>
    <col min="3" max="3" width="8.6328125" bestFit="1" customWidth="1"/>
    <col min="4" max="4" width="16.36328125" bestFit="1" customWidth="1"/>
    <col min="5" max="5" width="17" bestFit="1" customWidth="1"/>
    <col min="6" max="6" width="9.81640625" bestFit="1" customWidth="1"/>
  </cols>
  <sheetData>
    <row r="3" spans="1:6" x14ac:dyDescent="0.35">
      <c r="A3" s="80" t="s">
        <v>64</v>
      </c>
      <c r="B3" s="80" t="s">
        <v>110</v>
      </c>
      <c r="C3" s="80" t="s">
        <v>111</v>
      </c>
      <c r="D3" t="s">
        <v>116</v>
      </c>
      <c r="E3" t="s">
        <v>117</v>
      </c>
      <c r="F3" t="s">
        <v>118</v>
      </c>
    </row>
    <row r="4" spans="1:6" x14ac:dyDescent="0.35">
      <c r="A4">
        <v>1</v>
      </c>
      <c r="B4" t="s">
        <v>112</v>
      </c>
      <c r="C4" s="29">
        <v>1</v>
      </c>
      <c r="D4" s="30">
        <v>0.20833333333333334</v>
      </c>
      <c r="E4" s="30">
        <v>0.53055555555555556</v>
      </c>
      <c r="F4" s="30">
        <v>0.3222222222222223</v>
      </c>
    </row>
    <row r="5" spans="1:6" x14ac:dyDescent="0.35">
      <c r="A5">
        <v>1</v>
      </c>
      <c r="B5" t="s">
        <v>112</v>
      </c>
      <c r="C5" s="29">
        <v>2</v>
      </c>
      <c r="D5" s="30">
        <v>0.53055555555555556</v>
      </c>
      <c r="E5" s="30">
        <v>0.79791666666666672</v>
      </c>
      <c r="F5" s="30">
        <v>0.2673611111111111</v>
      </c>
    </row>
    <row r="6" spans="1:6" x14ac:dyDescent="0.35">
      <c r="A6" t="s">
        <v>119</v>
      </c>
      <c r="D6" s="30">
        <v>0.20833333333333334</v>
      </c>
      <c r="E6" s="30">
        <v>0.79791666666666672</v>
      </c>
      <c r="F6" s="30">
        <v>0.58958333333333368</v>
      </c>
    </row>
    <row r="7" spans="1:6" x14ac:dyDescent="0.35">
      <c r="A7">
        <v>2</v>
      </c>
      <c r="B7" t="s">
        <v>112</v>
      </c>
      <c r="C7" s="29">
        <v>1</v>
      </c>
      <c r="D7" s="30">
        <v>0.21666666666666667</v>
      </c>
      <c r="E7" s="30">
        <v>0.53749999999999998</v>
      </c>
      <c r="F7" s="30">
        <v>0.32152777777777786</v>
      </c>
    </row>
    <row r="8" spans="1:6" x14ac:dyDescent="0.35">
      <c r="A8">
        <v>2</v>
      </c>
      <c r="B8" t="s">
        <v>112</v>
      </c>
      <c r="C8" s="29">
        <v>2</v>
      </c>
      <c r="D8" s="30">
        <v>0.53749999999999998</v>
      </c>
      <c r="E8" s="30">
        <v>0.80763888888888891</v>
      </c>
      <c r="F8" s="30">
        <v>0.27013888888888887</v>
      </c>
    </row>
    <row r="9" spans="1:6" x14ac:dyDescent="0.35">
      <c r="A9" t="s">
        <v>120</v>
      </c>
      <c r="D9" s="30">
        <v>0.21666666666666667</v>
      </c>
      <c r="E9" s="30">
        <v>0.80763888888888891</v>
      </c>
      <c r="F9" s="30">
        <v>0.59166666666666701</v>
      </c>
    </row>
    <row r="10" spans="1:6" x14ac:dyDescent="0.35">
      <c r="A10">
        <v>3</v>
      </c>
      <c r="B10" t="s">
        <v>112</v>
      </c>
      <c r="C10" s="29">
        <v>1</v>
      </c>
      <c r="D10" s="30">
        <v>0.22500000000000001</v>
      </c>
      <c r="E10" s="30">
        <v>0.5444444444444444</v>
      </c>
      <c r="F10" s="30">
        <v>0.31944444444444448</v>
      </c>
    </row>
    <row r="11" spans="1:6" x14ac:dyDescent="0.35">
      <c r="A11">
        <v>3</v>
      </c>
      <c r="B11" t="s">
        <v>112</v>
      </c>
      <c r="C11" s="29">
        <v>2</v>
      </c>
      <c r="D11" s="30">
        <v>0.5444444444444444</v>
      </c>
      <c r="E11" s="30">
        <v>0.86111111111111116</v>
      </c>
      <c r="F11" s="30">
        <v>0.31666666666666671</v>
      </c>
    </row>
    <row r="12" spans="1:6" x14ac:dyDescent="0.35">
      <c r="A12" t="s">
        <v>121</v>
      </c>
      <c r="D12" s="30">
        <v>0.22500000000000001</v>
      </c>
      <c r="E12" s="30">
        <v>0.86111111111111116</v>
      </c>
      <c r="F12" s="30">
        <v>0.6361111111111114</v>
      </c>
    </row>
    <row r="13" spans="1:6" x14ac:dyDescent="0.35">
      <c r="A13">
        <v>4</v>
      </c>
      <c r="B13" t="s">
        <v>112</v>
      </c>
      <c r="C13" s="29">
        <v>1</v>
      </c>
      <c r="D13" s="30">
        <v>0.23333333333333334</v>
      </c>
      <c r="E13" s="30">
        <v>0.55138888888888893</v>
      </c>
      <c r="F13" s="30">
        <v>0.31805555555555559</v>
      </c>
    </row>
    <row r="14" spans="1:6" x14ac:dyDescent="0.35">
      <c r="A14">
        <v>4</v>
      </c>
      <c r="B14" t="s">
        <v>112</v>
      </c>
      <c r="C14" s="29">
        <v>2</v>
      </c>
      <c r="D14" s="30">
        <v>0.55138888888888893</v>
      </c>
      <c r="E14" s="30">
        <v>0.84652777777777777</v>
      </c>
      <c r="F14" s="30">
        <v>0.2951388888888889</v>
      </c>
    </row>
    <row r="15" spans="1:6" x14ac:dyDescent="0.35">
      <c r="A15" t="s">
        <v>122</v>
      </c>
      <c r="D15" s="30">
        <v>0.23333333333333334</v>
      </c>
      <c r="E15" s="30">
        <v>0.84652777777777777</v>
      </c>
      <c r="F15" s="30">
        <v>0.61319444444444471</v>
      </c>
    </row>
    <row r="16" spans="1:6" x14ac:dyDescent="0.35">
      <c r="A16">
        <v>5</v>
      </c>
      <c r="B16" t="s">
        <v>114</v>
      </c>
      <c r="C16" s="29">
        <v>1</v>
      </c>
      <c r="D16" s="30">
        <v>0.24166666666666667</v>
      </c>
      <c r="E16" s="30">
        <v>0.4152777777777778</v>
      </c>
      <c r="F16" s="30">
        <v>0.1736111111111111</v>
      </c>
    </row>
    <row r="17" spans="1:6" x14ac:dyDescent="0.35">
      <c r="A17">
        <v>5</v>
      </c>
      <c r="B17" t="s">
        <v>114</v>
      </c>
      <c r="C17" s="29">
        <v>2</v>
      </c>
      <c r="D17" s="30">
        <v>0.64722222222222225</v>
      </c>
      <c r="E17" s="30">
        <v>0.79305555555555551</v>
      </c>
      <c r="F17" s="30">
        <v>0.14583333333333334</v>
      </c>
    </row>
    <row r="18" spans="1:6" x14ac:dyDescent="0.35">
      <c r="A18" t="s">
        <v>123</v>
      </c>
      <c r="D18" s="30">
        <v>0.24166666666666667</v>
      </c>
      <c r="E18" s="30">
        <v>0.79305555555555551</v>
      </c>
      <c r="F18" s="30">
        <v>0.31944444444444448</v>
      </c>
    </row>
    <row r="19" spans="1:6" x14ac:dyDescent="0.35">
      <c r="A19">
        <v>6</v>
      </c>
      <c r="B19" t="s">
        <v>112</v>
      </c>
      <c r="C19" s="29">
        <v>1</v>
      </c>
      <c r="D19" s="30">
        <v>0.25</v>
      </c>
      <c r="E19" s="30">
        <v>0.56597222222222221</v>
      </c>
      <c r="F19" s="30">
        <v>0.31597222222222227</v>
      </c>
    </row>
    <row r="20" spans="1:6" x14ac:dyDescent="0.35">
      <c r="A20">
        <v>6</v>
      </c>
      <c r="B20" t="s">
        <v>112</v>
      </c>
      <c r="C20" s="29">
        <v>2</v>
      </c>
      <c r="D20" s="30">
        <v>0.56597222222222221</v>
      </c>
      <c r="E20" s="30">
        <v>0.8125</v>
      </c>
      <c r="F20" s="30">
        <v>0.24652777777777776</v>
      </c>
    </row>
    <row r="21" spans="1:6" x14ac:dyDescent="0.35">
      <c r="A21" t="s">
        <v>124</v>
      </c>
      <c r="D21" s="30">
        <v>0.25</v>
      </c>
      <c r="E21" s="30">
        <v>0.8125</v>
      </c>
      <c r="F21" s="30">
        <v>0.56250000000000022</v>
      </c>
    </row>
    <row r="22" spans="1:6" x14ac:dyDescent="0.35">
      <c r="A22">
        <v>7</v>
      </c>
      <c r="B22" t="s">
        <v>112</v>
      </c>
      <c r="C22" s="29">
        <v>1</v>
      </c>
      <c r="D22" s="30">
        <v>0.25486111111111109</v>
      </c>
      <c r="E22" s="30">
        <v>0.57291666666666663</v>
      </c>
      <c r="F22" s="30">
        <v>0.31805555555555559</v>
      </c>
    </row>
    <row r="23" spans="1:6" x14ac:dyDescent="0.35">
      <c r="A23">
        <v>7</v>
      </c>
      <c r="B23" t="s">
        <v>112</v>
      </c>
      <c r="C23" s="29">
        <v>2</v>
      </c>
      <c r="D23" s="30">
        <v>0.57291666666666663</v>
      </c>
      <c r="E23" s="30">
        <v>0.86597222222222225</v>
      </c>
      <c r="F23" s="30">
        <v>0.29305555555555557</v>
      </c>
    </row>
    <row r="24" spans="1:6" x14ac:dyDescent="0.35">
      <c r="A24" t="s">
        <v>125</v>
      </c>
      <c r="D24" s="30">
        <v>0.25486111111111109</v>
      </c>
      <c r="E24" s="30">
        <v>0.86597222222222225</v>
      </c>
      <c r="F24" s="30">
        <v>0.61111111111111138</v>
      </c>
    </row>
    <row r="25" spans="1:6" x14ac:dyDescent="0.35">
      <c r="A25">
        <v>8</v>
      </c>
      <c r="B25" t="s">
        <v>114</v>
      </c>
      <c r="C25" s="29">
        <v>1</v>
      </c>
      <c r="D25" s="30">
        <v>0.24513888888888888</v>
      </c>
      <c r="E25" s="30">
        <v>0.43958333333333333</v>
      </c>
      <c r="F25" s="30">
        <v>0.19444444444444445</v>
      </c>
    </row>
    <row r="26" spans="1:6" x14ac:dyDescent="0.35">
      <c r="A26">
        <v>8</v>
      </c>
      <c r="B26" t="s">
        <v>114</v>
      </c>
      <c r="C26" s="29">
        <v>2</v>
      </c>
      <c r="D26" s="30">
        <v>0.66180555555555554</v>
      </c>
      <c r="E26" s="30">
        <v>0.85624999999999996</v>
      </c>
      <c r="F26" s="30">
        <v>0.19444444444444445</v>
      </c>
    </row>
    <row r="27" spans="1:6" x14ac:dyDescent="0.35">
      <c r="A27" t="s">
        <v>126</v>
      </c>
      <c r="D27" s="30">
        <v>0.24513888888888888</v>
      </c>
      <c r="E27" s="30">
        <v>0.85624999999999996</v>
      </c>
      <c r="F27" s="30">
        <v>0.38888888888888901</v>
      </c>
    </row>
    <row r="28" spans="1:6" x14ac:dyDescent="0.35">
      <c r="A28">
        <v>9</v>
      </c>
      <c r="B28" t="s">
        <v>114</v>
      </c>
      <c r="C28" s="29">
        <v>1</v>
      </c>
      <c r="D28" s="30">
        <v>0.25486111111111109</v>
      </c>
      <c r="E28" s="30">
        <v>0.40069444444444446</v>
      </c>
      <c r="F28" s="30">
        <v>0.14583333333333334</v>
      </c>
    </row>
    <row r="29" spans="1:6" x14ac:dyDescent="0.35">
      <c r="A29">
        <v>9</v>
      </c>
      <c r="B29" t="s">
        <v>114</v>
      </c>
      <c r="C29" s="29">
        <v>2</v>
      </c>
      <c r="D29" s="30">
        <v>0.63263888888888886</v>
      </c>
      <c r="E29" s="30">
        <v>0.85138888888888886</v>
      </c>
      <c r="F29" s="30">
        <v>0.21875</v>
      </c>
    </row>
    <row r="30" spans="1:6" x14ac:dyDescent="0.35">
      <c r="A30" t="s">
        <v>127</v>
      </c>
      <c r="D30" s="30">
        <v>0.25486111111111109</v>
      </c>
      <c r="E30" s="30">
        <v>0.85138888888888886</v>
      </c>
      <c r="F30" s="30">
        <v>0.36458333333333343</v>
      </c>
    </row>
    <row r="31" spans="1:6" x14ac:dyDescent="0.35">
      <c r="A31">
        <v>10</v>
      </c>
      <c r="B31" t="s">
        <v>112</v>
      </c>
      <c r="C31" s="29">
        <v>1</v>
      </c>
      <c r="D31" s="30">
        <v>0.26458333333333334</v>
      </c>
      <c r="E31" s="30">
        <v>0.55833333333333335</v>
      </c>
      <c r="F31" s="30">
        <v>0.29375000000000001</v>
      </c>
    </row>
    <row r="32" spans="1:6" x14ac:dyDescent="0.35">
      <c r="A32">
        <v>10</v>
      </c>
      <c r="B32" t="s">
        <v>112</v>
      </c>
      <c r="C32" s="29">
        <v>2</v>
      </c>
      <c r="D32" s="30">
        <v>0.55833333333333335</v>
      </c>
      <c r="E32" s="30">
        <v>0.80277777777777781</v>
      </c>
      <c r="F32" s="81">
        <v>0.24444444444444444</v>
      </c>
    </row>
    <row r="33" spans="1:6" x14ac:dyDescent="0.35">
      <c r="A33" t="s">
        <v>128</v>
      </c>
      <c r="D33" s="30">
        <v>0.26458333333333334</v>
      </c>
      <c r="E33" s="30">
        <v>0.80277777777777781</v>
      </c>
      <c r="F33" s="30">
        <v>0.53819444444444464</v>
      </c>
    </row>
    <row r="34" spans="1:6" x14ac:dyDescent="0.35">
      <c r="A34" t="s">
        <v>115</v>
      </c>
      <c r="D34" s="30">
        <v>0.20833333333333334</v>
      </c>
      <c r="E34" s="30">
        <v>0.86597222222222225</v>
      </c>
      <c r="F34" s="30">
        <v>5.2152777777777537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D15EA-0495-44B1-AE77-899C40DAAADA}">
  <sheetPr codeName="Hoja4"/>
  <dimension ref="A1:M97"/>
  <sheetViews>
    <sheetView showGridLines="0" zoomScale="130" zoomScaleNormal="130" workbookViewId="0">
      <selection activeCell="A20" sqref="A20"/>
    </sheetView>
  </sheetViews>
  <sheetFormatPr baseColWidth="10" defaultColWidth="11.453125" defaultRowHeight="14.5" x14ac:dyDescent="0.35"/>
  <cols>
    <col min="1" max="1" width="20.453125" bestFit="1" customWidth="1"/>
    <col min="2" max="2" width="8" bestFit="1" customWidth="1"/>
    <col min="3" max="3" width="8.1796875" bestFit="1" customWidth="1"/>
    <col min="4" max="4" width="4.90625" bestFit="1" customWidth="1"/>
    <col min="5" max="5" width="4.6328125" bestFit="1" customWidth="1"/>
    <col min="6" max="6" width="8.1796875" bestFit="1" customWidth="1"/>
    <col min="8" max="8" width="20.453125" bestFit="1" customWidth="1"/>
    <col min="9" max="9" width="8" bestFit="1" customWidth="1"/>
    <col min="10" max="10" width="8.1796875" bestFit="1" customWidth="1"/>
    <col min="11" max="11" width="4.90625" bestFit="1" customWidth="1"/>
    <col min="12" max="12" width="4.6328125" bestFit="1" customWidth="1"/>
    <col min="13" max="13" width="8.1796875" bestFit="1" customWidth="1"/>
  </cols>
  <sheetData>
    <row r="1" spans="1:13" x14ac:dyDescent="0.35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5">
      <c r="A2" t="s">
        <v>90</v>
      </c>
      <c r="B2" s="22">
        <v>0.20833333333333334</v>
      </c>
      <c r="C2">
        <v>4</v>
      </c>
      <c r="D2">
        <v>53</v>
      </c>
      <c r="E2" s="29">
        <f>+D2/C2</f>
        <v>13.25</v>
      </c>
      <c r="F2" s="23">
        <v>1.0416666666666666E-2</v>
      </c>
      <c r="H2" t="s">
        <v>91</v>
      </c>
      <c r="I2" s="22">
        <v>0.20833333333333334</v>
      </c>
      <c r="J2">
        <v>4</v>
      </c>
      <c r="K2">
        <v>61</v>
      </c>
      <c r="L2" s="29">
        <f>+K2/J2</f>
        <v>15.25</v>
      </c>
      <c r="M2" s="23">
        <v>1.0416666666666666E-2</v>
      </c>
    </row>
    <row r="3" spans="1:13" x14ac:dyDescent="0.35">
      <c r="A3" t="s">
        <v>90</v>
      </c>
      <c r="B3" s="22">
        <v>0.27083333333333331</v>
      </c>
      <c r="C3">
        <v>4</v>
      </c>
      <c r="D3">
        <v>53</v>
      </c>
      <c r="E3" s="29">
        <f t="shared" ref="E3:E17" si="0">+D3/C3</f>
        <v>13.25</v>
      </c>
      <c r="F3" s="23">
        <v>1.0416666666666666E-2</v>
      </c>
      <c r="H3" t="s">
        <v>91</v>
      </c>
      <c r="I3" s="22">
        <v>0.27083333333333331</v>
      </c>
      <c r="J3">
        <v>4</v>
      </c>
      <c r="K3">
        <v>61</v>
      </c>
      <c r="L3" s="29">
        <f t="shared" ref="L3:L17" si="1">+K3/J3</f>
        <v>15.25</v>
      </c>
      <c r="M3" s="23">
        <v>1.0416666666666666E-2</v>
      </c>
    </row>
    <row r="4" spans="1:13" x14ac:dyDescent="0.35">
      <c r="A4" t="s">
        <v>90</v>
      </c>
      <c r="B4" s="22">
        <v>0.29166666666666702</v>
      </c>
      <c r="C4">
        <v>7</v>
      </c>
      <c r="D4">
        <v>53</v>
      </c>
      <c r="E4" s="29">
        <f t="shared" si="0"/>
        <v>7.5714285714285712</v>
      </c>
      <c r="F4" s="23">
        <v>5.5555555555555558E-3</v>
      </c>
      <c r="H4" t="s">
        <v>91</v>
      </c>
      <c r="I4" s="22">
        <v>0.29166666666666702</v>
      </c>
      <c r="J4">
        <v>7</v>
      </c>
      <c r="K4">
        <v>61</v>
      </c>
      <c r="L4" s="29">
        <f t="shared" si="1"/>
        <v>8.7142857142857135</v>
      </c>
      <c r="M4" s="23">
        <v>5.5555555555555558E-3</v>
      </c>
    </row>
    <row r="5" spans="1:13" x14ac:dyDescent="0.35">
      <c r="A5" t="s">
        <v>90</v>
      </c>
      <c r="B5" s="22">
        <v>0.33333333333333331</v>
      </c>
      <c r="C5">
        <v>7</v>
      </c>
      <c r="D5">
        <v>53</v>
      </c>
      <c r="E5" s="29">
        <f t="shared" si="0"/>
        <v>7.5714285714285712</v>
      </c>
      <c r="F5" s="23">
        <v>5.5555555555555558E-3</v>
      </c>
      <c r="H5" t="s">
        <v>91</v>
      </c>
      <c r="I5" s="22">
        <v>0.33333333333333331</v>
      </c>
      <c r="J5">
        <v>7</v>
      </c>
      <c r="K5">
        <v>61</v>
      </c>
      <c r="L5" s="29">
        <f t="shared" si="1"/>
        <v>8.7142857142857135</v>
      </c>
      <c r="M5" s="23">
        <v>5.5555555555555558E-3</v>
      </c>
    </row>
    <row r="6" spans="1:13" x14ac:dyDescent="0.35">
      <c r="A6" t="s">
        <v>90</v>
      </c>
      <c r="B6" s="22">
        <v>0.39583333333333331</v>
      </c>
      <c r="C6">
        <v>4</v>
      </c>
      <c r="D6">
        <v>53</v>
      </c>
      <c r="E6" s="29">
        <f t="shared" si="0"/>
        <v>13.25</v>
      </c>
      <c r="F6" s="23">
        <v>1.0416666666666666E-2</v>
      </c>
      <c r="H6" t="s">
        <v>91</v>
      </c>
      <c r="I6" s="22">
        <v>0.39583333333333331</v>
      </c>
      <c r="J6">
        <v>4</v>
      </c>
      <c r="K6">
        <v>61</v>
      </c>
      <c r="L6" s="29">
        <f t="shared" si="1"/>
        <v>15.25</v>
      </c>
      <c r="M6" s="23">
        <v>1.0416666666666666E-2</v>
      </c>
    </row>
    <row r="7" spans="1:13" x14ac:dyDescent="0.35">
      <c r="A7" t="s">
        <v>90</v>
      </c>
      <c r="B7" s="22">
        <v>0.41666666666666669</v>
      </c>
      <c r="C7">
        <v>4</v>
      </c>
      <c r="D7">
        <v>53</v>
      </c>
      <c r="E7" s="29">
        <f t="shared" si="0"/>
        <v>13.25</v>
      </c>
      <c r="F7" s="23">
        <v>1.0416666666666666E-2</v>
      </c>
      <c r="H7" t="s">
        <v>91</v>
      </c>
      <c r="I7" s="22">
        <v>0.41666666666666669</v>
      </c>
      <c r="J7">
        <v>4</v>
      </c>
      <c r="K7">
        <v>61</v>
      </c>
      <c r="L7" s="29">
        <f t="shared" si="1"/>
        <v>15.25</v>
      </c>
      <c r="M7" s="23">
        <v>1.0416666666666666E-2</v>
      </c>
    </row>
    <row r="8" spans="1:13" x14ac:dyDescent="0.35">
      <c r="A8" t="s">
        <v>90</v>
      </c>
      <c r="B8" s="22">
        <v>0.47916666666666669</v>
      </c>
      <c r="C8">
        <v>5</v>
      </c>
      <c r="D8">
        <v>53</v>
      </c>
      <c r="E8" s="29">
        <f t="shared" si="0"/>
        <v>10.6</v>
      </c>
      <c r="F8" s="23">
        <v>6.9444444444444441E-3</v>
      </c>
      <c r="H8" t="s">
        <v>91</v>
      </c>
      <c r="I8" s="22">
        <v>0.47916666666666669</v>
      </c>
      <c r="J8">
        <v>6</v>
      </c>
      <c r="K8">
        <v>61</v>
      </c>
      <c r="L8" s="29">
        <f t="shared" si="1"/>
        <v>10.166666666666666</v>
      </c>
      <c r="M8" s="23">
        <v>6.9444444444444441E-3</v>
      </c>
    </row>
    <row r="9" spans="1:13" x14ac:dyDescent="0.35">
      <c r="A9" t="s">
        <v>90</v>
      </c>
      <c r="B9" s="22">
        <v>0.5</v>
      </c>
      <c r="C9">
        <v>5</v>
      </c>
      <c r="D9">
        <v>53</v>
      </c>
      <c r="E9" s="29">
        <f t="shared" si="0"/>
        <v>10.6</v>
      </c>
      <c r="F9" s="23">
        <v>6.9444444444444441E-3</v>
      </c>
      <c r="H9" t="s">
        <v>91</v>
      </c>
      <c r="I9" s="22">
        <v>0.5</v>
      </c>
      <c r="J9">
        <v>6</v>
      </c>
      <c r="K9">
        <v>61</v>
      </c>
      <c r="L9" s="29">
        <f t="shared" si="1"/>
        <v>10.166666666666666</v>
      </c>
      <c r="M9" s="23">
        <v>6.9444444444444441E-3</v>
      </c>
    </row>
    <row r="10" spans="1:13" x14ac:dyDescent="0.35">
      <c r="A10" t="s">
        <v>90</v>
      </c>
      <c r="B10" s="22">
        <v>0.54166666666666663</v>
      </c>
      <c r="C10">
        <v>5</v>
      </c>
      <c r="D10">
        <v>53</v>
      </c>
      <c r="E10" s="29">
        <f t="shared" si="0"/>
        <v>10.6</v>
      </c>
      <c r="F10" s="23">
        <v>6.9444444444444441E-3</v>
      </c>
      <c r="H10" t="s">
        <v>91</v>
      </c>
      <c r="I10" s="22">
        <v>0.54166666666666663</v>
      </c>
      <c r="J10">
        <v>6</v>
      </c>
      <c r="K10">
        <v>61</v>
      </c>
      <c r="L10" s="29">
        <f t="shared" si="1"/>
        <v>10.166666666666666</v>
      </c>
      <c r="M10" s="23">
        <v>6.9444444444444441E-3</v>
      </c>
    </row>
    <row r="11" spans="1:13" x14ac:dyDescent="0.35">
      <c r="A11" t="s">
        <v>90</v>
      </c>
      <c r="B11" s="22">
        <v>0.60416666666666663</v>
      </c>
      <c r="C11">
        <v>4</v>
      </c>
      <c r="D11">
        <v>53</v>
      </c>
      <c r="E11" s="29">
        <f t="shared" si="0"/>
        <v>13.25</v>
      </c>
      <c r="F11" s="23">
        <v>6.9444444444444441E-3</v>
      </c>
      <c r="H11" t="s">
        <v>91</v>
      </c>
      <c r="I11" s="22">
        <v>0.60416666666666663</v>
      </c>
      <c r="J11">
        <v>4</v>
      </c>
      <c r="K11">
        <v>61</v>
      </c>
      <c r="L11" s="29">
        <f t="shared" si="1"/>
        <v>15.25</v>
      </c>
      <c r="M11" s="23">
        <v>1.0416666666666666E-2</v>
      </c>
    </row>
    <row r="12" spans="1:13" x14ac:dyDescent="0.35">
      <c r="A12" t="s">
        <v>90</v>
      </c>
      <c r="B12" s="22">
        <v>0.625</v>
      </c>
      <c r="C12">
        <v>4</v>
      </c>
      <c r="D12">
        <v>53</v>
      </c>
      <c r="E12" s="29">
        <f t="shared" si="0"/>
        <v>13.25</v>
      </c>
      <c r="F12" s="23">
        <v>6.9444444444444441E-3</v>
      </c>
      <c r="H12" t="s">
        <v>91</v>
      </c>
      <c r="I12" s="22">
        <v>0.625</v>
      </c>
      <c r="J12">
        <v>4</v>
      </c>
      <c r="K12">
        <v>61</v>
      </c>
      <c r="L12" s="29">
        <f t="shared" si="1"/>
        <v>15.25</v>
      </c>
      <c r="M12" s="23">
        <v>1.0416666666666666E-2</v>
      </c>
    </row>
    <row r="13" spans="1:13" x14ac:dyDescent="0.35">
      <c r="A13" t="s">
        <v>90</v>
      </c>
      <c r="B13" s="22">
        <v>0.66666666666666663</v>
      </c>
      <c r="C13">
        <v>7</v>
      </c>
      <c r="D13">
        <v>53</v>
      </c>
      <c r="E13" s="29">
        <f t="shared" si="0"/>
        <v>7.5714285714285712</v>
      </c>
      <c r="F13" s="23">
        <v>5.5555555555555558E-3</v>
      </c>
      <c r="H13" t="s">
        <v>91</v>
      </c>
      <c r="I13" s="22">
        <v>0.6875</v>
      </c>
      <c r="J13">
        <v>7</v>
      </c>
      <c r="K13">
        <v>61</v>
      </c>
      <c r="L13" s="29">
        <f t="shared" si="1"/>
        <v>8.7142857142857135</v>
      </c>
      <c r="M13" s="23">
        <v>5.5555555555555558E-3</v>
      </c>
    </row>
    <row r="14" spans="1:13" x14ac:dyDescent="0.35">
      <c r="A14" t="s">
        <v>90</v>
      </c>
      <c r="B14" s="22">
        <v>0.70833333333333304</v>
      </c>
      <c r="C14">
        <v>7</v>
      </c>
      <c r="D14">
        <v>53</v>
      </c>
      <c r="E14" s="29">
        <f t="shared" si="0"/>
        <v>7.5714285714285712</v>
      </c>
      <c r="F14" s="23">
        <v>5.5555555555555558E-3</v>
      </c>
      <c r="H14" t="s">
        <v>91</v>
      </c>
      <c r="I14" s="22">
        <v>0.70833333333333304</v>
      </c>
      <c r="J14">
        <v>7</v>
      </c>
      <c r="K14">
        <v>61</v>
      </c>
      <c r="L14" s="29">
        <f t="shared" si="1"/>
        <v>8.7142857142857135</v>
      </c>
      <c r="M14" s="23">
        <v>5.5555555555555558E-3</v>
      </c>
    </row>
    <row r="15" spans="1:13" x14ac:dyDescent="0.35">
      <c r="A15" t="s">
        <v>90</v>
      </c>
      <c r="B15" s="22">
        <v>0.75</v>
      </c>
      <c r="C15">
        <v>7</v>
      </c>
      <c r="D15">
        <v>53</v>
      </c>
      <c r="E15" s="29">
        <f t="shared" si="0"/>
        <v>7.5714285714285712</v>
      </c>
      <c r="F15" s="23">
        <v>5.5555555555555558E-3</v>
      </c>
      <c r="H15" t="s">
        <v>91</v>
      </c>
      <c r="I15" s="22">
        <v>0.75</v>
      </c>
      <c r="J15">
        <v>7</v>
      </c>
      <c r="K15">
        <v>61</v>
      </c>
      <c r="L15" s="29">
        <f t="shared" si="1"/>
        <v>8.7142857142857135</v>
      </c>
      <c r="M15" s="23">
        <v>5.5555555555555558E-3</v>
      </c>
    </row>
    <row r="16" spans="1:13" x14ac:dyDescent="0.35">
      <c r="A16" t="s">
        <v>90</v>
      </c>
      <c r="B16" s="22">
        <v>0.80208333333333337</v>
      </c>
      <c r="C16">
        <v>4</v>
      </c>
      <c r="D16">
        <v>53</v>
      </c>
      <c r="E16" s="29">
        <f t="shared" si="0"/>
        <v>13.25</v>
      </c>
      <c r="F16" s="23">
        <v>1.0416666666666666E-2</v>
      </c>
      <c r="H16" t="s">
        <v>91</v>
      </c>
      <c r="I16" s="22">
        <v>0.80208333333333337</v>
      </c>
      <c r="J16">
        <v>4</v>
      </c>
      <c r="K16">
        <v>61</v>
      </c>
      <c r="L16" s="29">
        <f t="shared" si="1"/>
        <v>15.25</v>
      </c>
      <c r="M16" s="23">
        <v>1.0416666666666666E-2</v>
      </c>
    </row>
    <row r="17" spans="1:13" x14ac:dyDescent="0.35">
      <c r="A17" t="s">
        <v>90</v>
      </c>
      <c r="B17" s="22">
        <v>0.83333333333333304</v>
      </c>
      <c r="C17">
        <v>3</v>
      </c>
      <c r="D17">
        <v>53</v>
      </c>
      <c r="E17" s="29">
        <f t="shared" si="0"/>
        <v>17.666666666666668</v>
      </c>
      <c r="F17" s="23">
        <v>1.7361111111111112E-2</v>
      </c>
      <c r="H17" t="s">
        <v>91</v>
      </c>
      <c r="I17" s="22">
        <v>0.83333333333333304</v>
      </c>
      <c r="J17">
        <v>3</v>
      </c>
      <c r="K17">
        <v>61</v>
      </c>
      <c r="L17" s="29">
        <f t="shared" si="1"/>
        <v>20.333333333333332</v>
      </c>
      <c r="M17" s="23">
        <v>1.7361111111111112E-2</v>
      </c>
    </row>
    <row r="18" spans="1:13" x14ac:dyDescent="0.35">
      <c r="B18" s="22"/>
      <c r="E18" s="29"/>
    </row>
    <row r="19" spans="1:13" x14ac:dyDescent="0.35">
      <c r="B19" s="22"/>
      <c r="E19" s="29"/>
    </row>
    <row r="20" spans="1:13" x14ac:dyDescent="0.35">
      <c r="B20" s="22"/>
      <c r="E20" s="29"/>
    </row>
    <row r="21" spans="1:13" x14ac:dyDescent="0.35">
      <c r="B21" s="22"/>
      <c r="E21" s="29"/>
    </row>
    <row r="22" spans="1:13" x14ac:dyDescent="0.35">
      <c r="B22" s="22"/>
      <c r="E22" s="29"/>
    </row>
    <row r="23" spans="1:13" x14ac:dyDescent="0.35">
      <c r="B23" s="22"/>
      <c r="E23" s="29"/>
    </row>
    <row r="24" spans="1:13" x14ac:dyDescent="0.35">
      <c r="B24" s="22"/>
      <c r="E24" s="29"/>
    </row>
    <row r="25" spans="1:13" x14ac:dyDescent="0.35">
      <c r="B25" s="22"/>
      <c r="E25" s="29"/>
    </row>
    <row r="26" spans="1:13" x14ac:dyDescent="0.35">
      <c r="B26" s="22"/>
      <c r="E26" s="29"/>
    </row>
    <row r="27" spans="1:13" x14ac:dyDescent="0.35">
      <c r="B27" s="22"/>
      <c r="E27" s="29"/>
    </row>
    <row r="28" spans="1:13" x14ac:dyDescent="0.35">
      <c r="B28" s="22"/>
      <c r="E28" s="29"/>
    </row>
    <row r="29" spans="1:13" x14ac:dyDescent="0.35">
      <c r="B29" s="22"/>
      <c r="E29" s="29"/>
    </row>
    <row r="30" spans="1:13" x14ac:dyDescent="0.35">
      <c r="B30" s="22"/>
      <c r="E30" s="29"/>
    </row>
    <row r="31" spans="1:13" x14ac:dyDescent="0.35">
      <c r="B31" s="22"/>
      <c r="E31" s="29"/>
    </row>
    <row r="32" spans="1:13" x14ac:dyDescent="0.35">
      <c r="B32" s="22"/>
      <c r="E32" s="29"/>
    </row>
    <row r="33" spans="2:5" x14ac:dyDescent="0.35">
      <c r="B33" s="22"/>
      <c r="E33" s="29"/>
    </row>
    <row r="34" spans="2:5" x14ac:dyDescent="0.35">
      <c r="B34" s="22"/>
      <c r="E34" s="29"/>
    </row>
    <row r="35" spans="2:5" x14ac:dyDescent="0.35">
      <c r="B35" s="22"/>
      <c r="E35" s="29"/>
    </row>
    <row r="36" spans="2:5" x14ac:dyDescent="0.35">
      <c r="B36" s="22"/>
      <c r="E36" s="29"/>
    </row>
    <row r="37" spans="2:5" x14ac:dyDescent="0.35">
      <c r="B37" s="22"/>
      <c r="E37" s="29"/>
    </row>
    <row r="38" spans="2:5" x14ac:dyDescent="0.35">
      <c r="B38" s="22"/>
      <c r="E38" s="29"/>
    </row>
    <row r="39" spans="2:5" x14ac:dyDescent="0.35">
      <c r="B39" s="22"/>
      <c r="E39" s="29"/>
    </row>
    <row r="40" spans="2:5" x14ac:dyDescent="0.35">
      <c r="B40" s="22"/>
      <c r="E40" s="29"/>
    </row>
    <row r="41" spans="2:5" x14ac:dyDescent="0.35">
      <c r="B41" s="22"/>
      <c r="E41" s="29"/>
    </row>
    <row r="42" spans="2:5" x14ac:dyDescent="0.35">
      <c r="B42" s="22"/>
      <c r="E42" s="29"/>
    </row>
    <row r="43" spans="2:5" x14ac:dyDescent="0.35">
      <c r="B43" s="22"/>
      <c r="E43" s="29"/>
    </row>
    <row r="44" spans="2:5" x14ac:dyDescent="0.35">
      <c r="B44" s="22"/>
      <c r="E44" s="29"/>
    </row>
    <row r="45" spans="2:5" x14ac:dyDescent="0.35">
      <c r="B45" s="22"/>
      <c r="E45" s="29"/>
    </row>
    <row r="46" spans="2:5" x14ac:dyDescent="0.35">
      <c r="B46" s="22"/>
      <c r="E46" s="29"/>
    </row>
    <row r="47" spans="2:5" x14ac:dyDescent="0.35">
      <c r="B47" s="22"/>
      <c r="E47" s="29"/>
    </row>
    <row r="48" spans="2:5" x14ac:dyDescent="0.35">
      <c r="B48" s="22"/>
      <c r="E48" s="29"/>
    </row>
    <row r="49" spans="2:5" x14ac:dyDescent="0.35">
      <c r="B49" s="22"/>
      <c r="E49" s="29"/>
    </row>
    <row r="50" spans="2:5" x14ac:dyDescent="0.35">
      <c r="B50" s="22"/>
      <c r="E50" s="29"/>
    </row>
    <row r="51" spans="2:5" x14ac:dyDescent="0.35">
      <c r="B51" s="22"/>
      <c r="E51" s="29"/>
    </row>
    <row r="52" spans="2:5" x14ac:dyDescent="0.35">
      <c r="B52" s="22"/>
      <c r="E52" s="29"/>
    </row>
    <row r="53" spans="2:5" x14ac:dyDescent="0.35">
      <c r="B53" s="22"/>
      <c r="E53" s="29"/>
    </row>
    <row r="54" spans="2:5" x14ac:dyDescent="0.35">
      <c r="B54" s="22"/>
      <c r="E54" s="29"/>
    </row>
    <row r="55" spans="2:5" x14ac:dyDescent="0.35">
      <c r="B55" s="22"/>
      <c r="E55" s="29"/>
    </row>
    <row r="56" spans="2:5" x14ac:dyDescent="0.35">
      <c r="B56" s="22"/>
      <c r="E56" s="29"/>
    </row>
    <row r="57" spans="2:5" x14ac:dyDescent="0.35">
      <c r="B57" s="22"/>
      <c r="E57" s="29"/>
    </row>
    <row r="58" spans="2:5" x14ac:dyDescent="0.35">
      <c r="B58" s="22"/>
      <c r="E58" s="29"/>
    </row>
    <row r="59" spans="2:5" x14ac:dyDescent="0.35">
      <c r="B59" s="22"/>
      <c r="E59" s="29"/>
    </row>
    <row r="60" spans="2:5" x14ac:dyDescent="0.35">
      <c r="B60" s="22"/>
      <c r="E60" s="29"/>
    </row>
    <row r="61" spans="2:5" x14ac:dyDescent="0.35">
      <c r="B61" s="22"/>
      <c r="E61" s="29"/>
    </row>
    <row r="62" spans="2:5" x14ac:dyDescent="0.35">
      <c r="B62" s="22"/>
      <c r="E62" s="29"/>
    </row>
    <row r="63" spans="2:5" x14ac:dyDescent="0.35">
      <c r="B63" s="22"/>
      <c r="E63" s="29"/>
    </row>
    <row r="64" spans="2:5" x14ac:dyDescent="0.35">
      <c r="B64" s="22"/>
      <c r="E64" s="29"/>
    </row>
    <row r="65" spans="2:5" x14ac:dyDescent="0.35">
      <c r="B65" s="22"/>
      <c r="E65" s="29"/>
    </row>
    <row r="66" spans="2:5" x14ac:dyDescent="0.35">
      <c r="B66" s="22"/>
      <c r="E66" s="29"/>
    </row>
    <row r="67" spans="2:5" x14ac:dyDescent="0.35">
      <c r="B67" s="22"/>
      <c r="E67" s="29"/>
    </row>
    <row r="68" spans="2:5" x14ac:dyDescent="0.35">
      <c r="B68" s="22"/>
      <c r="E68" s="29"/>
    </row>
    <row r="69" spans="2:5" x14ac:dyDescent="0.35">
      <c r="B69" s="22"/>
      <c r="E69" s="29"/>
    </row>
    <row r="70" spans="2:5" x14ac:dyDescent="0.35">
      <c r="B70" s="22"/>
      <c r="E70" s="29"/>
    </row>
    <row r="71" spans="2:5" x14ac:dyDescent="0.35">
      <c r="B71" s="22"/>
      <c r="E71" s="29"/>
    </row>
    <row r="72" spans="2:5" x14ac:dyDescent="0.35">
      <c r="B72" s="22"/>
      <c r="E72" s="29"/>
    </row>
    <row r="73" spans="2:5" x14ac:dyDescent="0.35">
      <c r="B73" s="22"/>
      <c r="E73" s="29"/>
    </row>
    <row r="74" spans="2:5" x14ac:dyDescent="0.35">
      <c r="B74" s="22"/>
      <c r="E74" s="29"/>
    </row>
    <row r="75" spans="2:5" x14ac:dyDescent="0.35">
      <c r="B75" s="22"/>
      <c r="E75" s="29"/>
    </row>
    <row r="76" spans="2:5" x14ac:dyDescent="0.35">
      <c r="B76" s="22"/>
      <c r="E76" s="29"/>
    </row>
    <row r="77" spans="2:5" x14ac:dyDescent="0.35">
      <c r="B77" s="22"/>
      <c r="E77" s="29"/>
    </row>
    <row r="78" spans="2:5" x14ac:dyDescent="0.35">
      <c r="B78" s="22"/>
      <c r="E78" s="29"/>
    </row>
    <row r="79" spans="2:5" x14ac:dyDescent="0.35">
      <c r="B79" s="22"/>
      <c r="E79" s="29"/>
    </row>
    <row r="80" spans="2:5" x14ac:dyDescent="0.35">
      <c r="B80" s="22"/>
      <c r="E80" s="29"/>
    </row>
    <row r="81" spans="2:5" x14ac:dyDescent="0.35">
      <c r="B81" s="22"/>
      <c r="E81" s="29"/>
    </row>
    <row r="82" spans="2:5" x14ac:dyDescent="0.35">
      <c r="B82" s="22"/>
      <c r="E82" s="29"/>
    </row>
    <row r="83" spans="2:5" x14ac:dyDescent="0.35">
      <c r="B83" s="22"/>
      <c r="E83" s="29"/>
    </row>
    <row r="84" spans="2:5" x14ac:dyDescent="0.35">
      <c r="B84" s="22"/>
      <c r="E84" s="29"/>
    </row>
    <row r="85" spans="2:5" x14ac:dyDescent="0.35">
      <c r="B85" s="22"/>
      <c r="E85" s="29"/>
    </row>
    <row r="86" spans="2:5" x14ac:dyDescent="0.35">
      <c r="B86" s="22"/>
      <c r="E86" s="29"/>
    </row>
    <row r="87" spans="2:5" x14ac:dyDescent="0.35">
      <c r="B87" s="22"/>
      <c r="E87" s="29"/>
    </row>
    <row r="88" spans="2:5" x14ac:dyDescent="0.35">
      <c r="B88" s="22"/>
      <c r="E88" s="29"/>
    </row>
    <row r="89" spans="2:5" x14ac:dyDescent="0.35">
      <c r="B89" s="22"/>
      <c r="E89" s="29"/>
    </row>
    <row r="90" spans="2:5" x14ac:dyDescent="0.35">
      <c r="B90" s="22"/>
      <c r="E90" s="29"/>
    </row>
    <row r="91" spans="2:5" x14ac:dyDescent="0.35">
      <c r="B91" s="22"/>
      <c r="E91" s="29"/>
    </row>
    <row r="92" spans="2:5" x14ac:dyDescent="0.35">
      <c r="B92" s="22"/>
      <c r="E92" s="29"/>
    </row>
    <row r="93" spans="2:5" x14ac:dyDescent="0.35">
      <c r="B93" s="22"/>
      <c r="E93" s="29"/>
    </row>
    <row r="94" spans="2:5" x14ac:dyDescent="0.35">
      <c r="B94" s="22"/>
      <c r="E94" s="29"/>
    </row>
    <row r="95" spans="2:5" x14ac:dyDescent="0.35">
      <c r="B95" s="22"/>
      <c r="E95" s="29"/>
    </row>
    <row r="96" spans="2:5" x14ac:dyDescent="0.35">
      <c r="B96" s="22"/>
      <c r="E96" s="29"/>
    </row>
    <row r="97" spans="2:5" x14ac:dyDescent="0.35">
      <c r="B97" s="22"/>
      <c r="E97" s="29"/>
    </row>
  </sheetData>
  <phoneticPr fontId="1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822D-F8B1-4689-99A4-11043C0D717C}">
  <sheetPr codeName="Hoja25"/>
  <dimension ref="A1:AM141"/>
  <sheetViews>
    <sheetView showGridLines="0" zoomScaleNormal="100" workbookViewId="0">
      <pane ySplit="3" topLeftCell="A4" activePane="bottomLeft" state="frozen"/>
      <selection pane="bottomLeft" activeCell="D5" sqref="D5"/>
    </sheetView>
  </sheetViews>
  <sheetFormatPr baseColWidth="10" defaultColWidth="11.453125" defaultRowHeight="14.5" x14ac:dyDescent="0.35"/>
  <cols>
    <col min="1" max="1" width="5.453125" bestFit="1" customWidth="1"/>
    <col min="2" max="2" width="7.08984375" style="28" customWidth="1"/>
    <col min="3" max="7" width="9.81640625" customWidth="1"/>
    <col min="8" max="8" width="9.81640625" style="23" customWidth="1"/>
    <col min="9" max="9" width="9.81640625" customWidth="1"/>
    <col min="10" max="10" width="11.08984375" bestFit="1" customWidth="1"/>
    <col min="11" max="12" width="7.36328125" hidden="1" customWidth="1"/>
    <col min="13" max="13" width="11.81640625" hidden="1" customWidth="1"/>
    <col min="14" max="14" width="7.90625" bestFit="1" customWidth="1"/>
    <col min="15" max="15" width="0.90625" customWidth="1"/>
    <col min="16" max="16" width="5.54296875" style="31" bestFit="1" customWidth="1"/>
    <col min="17" max="17" width="0.81640625" style="31" customWidth="1"/>
    <col min="18" max="18" width="5.453125" bestFit="1" customWidth="1"/>
    <col min="19" max="19" width="5.1796875" style="28" customWidth="1"/>
    <col min="20" max="20" width="10.1796875" bestFit="1" customWidth="1"/>
    <col min="21" max="23" width="9.81640625" customWidth="1"/>
    <col min="24" max="24" width="11.81640625" customWidth="1"/>
    <col min="25" max="25" width="10.6328125" bestFit="1" customWidth="1"/>
    <col min="26" max="26" width="10.81640625" bestFit="1" customWidth="1"/>
    <col min="27" max="27" width="11.08984375" bestFit="1" customWidth="1"/>
    <col min="28" max="29" width="7.36328125" hidden="1" customWidth="1"/>
    <col min="30" max="30" width="14.1796875" hidden="1" customWidth="1"/>
    <col min="31" max="31" width="7.90625" bestFit="1" customWidth="1"/>
    <col min="32" max="33" width="2" bestFit="1" customWidth="1"/>
    <col min="34" max="34" width="4" bestFit="1" customWidth="1"/>
    <col min="35" max="37" width="3" bestFit="1" customWidth="1"/>
    <col min="38" max="38" width="4.1796875" bestFit="1" customWidth="1"/>
    <col min="39" max="39" width="7.90625" bestFit="1" customWidth="1"/>
  </cols>
  <sheetData>
    <row r="1" spans="1:39" x14ac:dyDescent="0.35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5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5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67" si="0">+$D$2</f>
        <v>4.2361111111111106E-2</v>
      </c>
      <c r="G4" s="23">
        <f>C4+F4</f>
        <v>0.25763888888888892</v>
      </c>
      <c r="I4" s="23"/>
      <c r="J4" s="23">
        <f t="shared" ref="J4" si="1">+C4+H4</f>
        <v>0.21527777777777779</v>
      </c>
      <c r="K4" s="30">
        <f>(G4-C4)+TrCeib118[[#This Row],[Tt_tex]]</f>
        <v>4.2361111111111127E-2</v>
      </c>
      <c r="L4" s="30">
        <f>SUMIF(B$4:$B4,TrCeib118[[#This Row],[BUS]],$K$4:K4)</f>
        <v>4.2361111111111127E-2</v>
      </c>
      <c r="M4" s="23">
        <f>_xlfn.IFNA(VLOOKUP(TrCeib118[[#This Row],[BUS]],_xlfn._xlws.SORT(VeredaTr129[[BUS]:[T2]],11,-1,FALSE),11,FALSE),0)</f>
        <v>0.18402777777777768</v>
      </c>
      <c r="N4" s="23">
        <f>+TrCeib118[[#This Row],[∑TrCeib]]+TrCeib118[[#This Row],[T2]]</f>
        <v>0.22638888888888881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12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53" si="3">+T4+Y4</f>
        <v>0.21527777777777779</v>
      </c>
      <c r="AB4" s="30">
        <f t="shared" ref="AB4" si="4">(X4-T4)</f>
        <v>3.6805555555555536E-2</v>
      </c>
      <c r="AC4" s="30">
        <f>SUMIF($S$4:S4,S4,$AB$4:AB4)</f>
        <v>3.6805555555555536E-2</v>
      </c>
      <c r="AD4" s="23">
        <f>_xlfn.IFNA(VLOOKUP(VeredaTr129[[#This Row],[BUS]],_xlfn._xlws.SORT(TrCeib118[[BUS]:[T2]],11,-1,FALSE),11,FALSE),0)</f>
        <v>0.1694444444444444</v>
      </c>
      <c r="AE4" s="23">
        <f>+VeredaTr129[[#This Row],[∑VeredaTr]]+VeredaTr129[[#This Row],[T2]]</f>
        <v>0.20624999999999993</v>
      </c>
      <c r="AL4" s="7">
        <v>1</v>
      </c>
      <c r="AM4" s="55">
        <f>VLOOKUP(AL4,_xlfn._xlws.SORT(VeredaTr129[[BUS]:[∑]],13,-1,FALSE),13,FALSE)</f>
        <v>0.43819444444444428</v>
      </c>
    </row>
    <row r="5" spans="1:39" x14ac:dyDescent="0.35">
      <c r="A5" t="s">
        <v>63</v>
      </c>
      <c r="B5" s="28">
        <v>2</v>
      </c>
      <c r="C5" s="23">
        <v>0.22569444444444445</v>
      </c>
      <c r="D5" s="23">
        <f t="shared" ref="D5:D11" si="5">C5-C4</f>
        <v>1.0416666666666657E-2</v>
      </c>
      <c r="E5" s="23">
        <f>VLOOKUP(TrCeib118[[#This Row],[HORA]],'OFERTA (3)'!I:M,5,TRUE)</f>
        <v>1.0416666666666666E-2</v>
      </c>
      <c r="F5" s="23">
        <f t="shared" si="0"/>
        <v>4.2361111111111106E-2</v>
      </c>
      <c r="G5" s="23">
        <f t="shared" ref="G5:G27" si="6">C5+F5</f>
        <v>0.26805555555555555</v>
      </c>
      <c r="H5" s="23">
        <f t="shared" ref="H5:H34" si="7">+(C4+E5)-C5</f>
        <v>0</v>
      </c>
      <c r="I5" s="23"/>
      <c r="J5" s="23">
        <f t="shared" ref="J5:J44" si="8">+C5+H5</f>
        <v>0.22569444444444445</v>
      </c>
      <c r="K5" s="30">
        <f>(G5-C5)+TrCeib118[[#This Row],[Tt_tex]]</f>
        <v>4.2361111111111099E-2</v>
      </c>
      <c r="L5" s="30">
        <f>SUMIF(B$4:$B5,TrCeib118[[#This Row],[BUS]],$K$4:K5)</f>
        <v>4.2361111111111099E-2</v>
      </c>
      <c r="M5" s="23">
        <f>_xlfn.IFNA(VLOOKUP(TrCeib118[[#This Row],[BUS]],_xlfn._xlws.SORT(VeredaTr129[[BUS]:[T2]],11,-1,FALSE),11,FALSE),0)</f>
        <v>0.18402777777777768</v>
      </c>
      <c r="N5" s="23">
        <f>+TrCeib118[[#This Row],[∑TrCeib]]+TrCeib118[[#This Row],[T2]]</f>
        <v>0.22638888888888878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VLOOKUP(VeredaTr129[[#This Row],[HORA]],'OFERTA (3)'!B:F,5,TRUE)</f>
        <v>1.0416666666666666E-2</v>
      </c>
      <c r="W5" s="23">
        <f t="shared" ref="W5:W63" si="9">+$U$2</f>
        <v>3.6805555555555557E-2</v>
      </c>
      <c r="X5" s="23">
        <f t="shared" ref="X5:X14" si="10">+T5+W5</f>
        <v>0.26250000000000001</v>
      </c>
      <c r="Y5" s="23">
        <f t="shared" ref="Y5:Y7" si="11">+(T4+V5)-T5</f>
        <v>0</v>
      </c>
      <c r="Z5" s="23"/>
      <c r="AA5" s="23">
        <f t="shared" si="3"/>
        <v>0.22569444444444445</v>
      </c>
      <c r="AB5" s="30">
        <f t="shared" ref="AB5:AB53" si="12">(X5-T5)</f>
        <v>3.6805555555555564E-2</v>
      </c>
      <c r="AC5" s="30">
        <f>SUMIF($S$4:S5,S5,$AB$4:AB5)</f>
        <v>3.6805555555555564E-2</v>
      </c>
      <c r="AD5" s="23">
        <f>_xlfn.IFNA(VLOOKUP(VeredaTr129[[#This Row],[BUS]],_xlfn._xlws.SORT(TrCeib118[[BUS]:[T2]],11,-1,FALSE),11,FALSE),0)</f>
        <v>0.1694444444444444</v>
      </c>
      <c r="AE5" s="23">
        <f>+VeredaTr129[[#This Row],[∑VeredaTr]]+VeredaTr129[[#This Row],[T2]]</f>
        <v>0.20624999999999996</v>
      </c>
      <c r="AL5" s="7">
        <v>2</v>
      </c>
      <c r="AM5" s="55">
        <f>VLOOKUP(AL5,_xlfn._xlws.SORT(VeredaTr129[[BUS]:[∑]],13,-1,FALSE),13,FALSE)</f>
        <v>0.43819444444444422</v>
      </c>
    </row>
    <row r="6" spans="1:39" x14ac:dyDescent="0.35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VLOOKUP(TrCeib118[[#This Row],[HORA]],'OFERTA (3)'!I:M,5,TRUE)</f>
        <v>1.0416666666666666E-2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8"/>
        <v>0.23611111111111113</v>
      </c>
      <c r="K6" s="30">
        <f>(G6-C6)+TrCeib118[[#This Row],[Tt_tex]]</f>
        <v>4.2361111111111099E-2</v>
      </c>
      <c r="L6" s="30">
        <f>SUMIF(B$4:$B6,TrCeib118[[#This Row],[BUS]],$K$4:K6)</f>
        <v>4.2361111111111099E-2</v>
      </c>
      <c r="M6" s="23">
        <f>_xlfn.IFNA(VLOOKUP(TrCeib118[[#This Row],[BUS]],_xlfn._xlws.SORT(VeredaTr129[[BUS]:[T2]],11,-1,FALSE),11,FALSE),0)</f>
        <v>0.1826388888888888</v>
      </c>
      <c r="N6" s="23">
        <f>+TrCeib118[[#This Row],[∑TrCeib]]+TrCeib118[[#This Row],[T2]]</f>
        <v>0.22499999999999989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VLOOKUP(VeredaTr129[[#This Row],[HORA]],'OFERTA (3)'!B:F,5,TRUE)</f>
        <v>1.0416666666666666E-2</v>
      </c>
      <c r="W6" s="23">
        <f t="shared" si="9"/>
        <v>3.6805555555555557E-2</v>
      </c>
      <c r="X6" s="23">
        <f t="shared" si="10"/>
        <v>0.2729166666666667</v>
      </c>
      <c r="Y6" s="23">
        <f t="shared" si="11"/>
        <v>0</v>
      </c>
      <c r="Z6" s="23"/>
      <c r="AA6" s="23">
        <f t="shared" si="3"/>
        <v>0.23611111111111113</v>
      </c>
      <c r="AB6" s="30">
        <f t="shared" si="12"/>
        <v>3.6805555555555564E-2</v>
      </c>
      <c r="AC6" s="30">
        <f>SUMIF($S$4:S6,S6,$AB$4:AB6)</f>
        <v>3.6805555555555564E-2</v>
      </c>
      <c r="AD6" s="23">
        <f>_xlfn.IFNA(VLOOKUP(VeredaTr129[[#This Row],[BUS]],_xlfn._xlws.SORT(TrCeib118[[BUS]:[T2]],11,-1,FALSE),11,FALSE),0)</f>
        <v>0.25416666666666654</v>
      </c>
      <c r="AE6" s="23">
        <f>+VeredaTr129[[#This Row],[∑VeredaTr]]+VeredaTr129[[#This Row],[T2]]</f>
        <v>0.29097222222222208</v>
      </c>
      <c r="AL6" s="7">
        <v>3</v>
      </c>
      <c r="AM6" s="55">
        <f>VLOOKUP(AL6,_xlfn._xlws.SORT(VeredaTr129[[BUS]:[∑]],13,-1,FALSE),13,FALSE)</f>
        <v>0.43680555555555534</v>
      </c>
    </row>
    <row r="7" spans="1:39" x14ac:dyDescent="0.35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VLOOKUP(TrCeib118[[#This Row],[HORA]],'OFERTA (3)'!I:M,5,TRUE)</f>
        <v>1.0416666666666666E-2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0</v>
      </c>
      <c r="I7" s="23"/>
      <c r="J7" s="23">
        <f t="shared" si="8"/>
        <v>0.24652777777777779</v>
      </c>
      <c r="K7" s="30">
        <f>(G7-C7)+TrCeib118[[#This Row],[Tt_tex]]</f>
        <v>4.2361111111111127E-2</v>
      </c>
      <c r="L7" s="30">
        <f>SUMIF(B$4:$B7,TrCeib118[[#This Row],[BUS]],$K$4:K7)</f>
        <v>4.2361111111111127E-2</v>
      </c>
      <c r="M7" s="23">
        <f>_xlfn.IFNA(VLOOKUP(TrCeib118[[#This Row],[BUS]],_xlfn._xlws.SORT(VeredaTr129[[BUS]:[T2]],11,-1,FALSE),11,FALSE),0)</f>
        <v>0.14444444444444438</v>
      </c>
      <c r="N7" s="23">
        <f>+TrCeib118[[#This Row],[∑TrCeib]]+TrCeib118[[#This Row],[T2]]</f>
        <v>0.1868055555555555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VLOOKUP(VeredaTr129[[#This Row],[HORA]],'OFERTA (3)'!B:F,5,TRUE)</f>
        <v>1.0416666666666666E-2</v>
      </c>
      <c r="W7" s="23">
        <f t="shared" si="9"/>
        <v>3.6805555555555557E-2</v>
      </c>
      <c r="X7" s="23">
        <f t="shared" si="10"/>
        <v>0.28333333333333333</v>
      </c>
      <c r="Y7" s="23">
        <f t="shared" si="11"/>
        <v>0</v>
      </c>
      <c r="Z7" s="23"/>
      <c r="AA7" s="23">
        <f t="shared" si="3"/>
        <v>0.24652777777777779</v>
      </c>
      <c r="AB7" s="30">
        <f t="shared" si="12"/>
        <v>3.6805555555555536E-2</v>
      </c>
      <c r="AC7" s="30">
        <f>SUMIF($S$4:S7,S7,$AB$4:AB7)</f>
        <v>3.6805555555555536E-2</v>
      </c>
      <c r="AD7" s="23">
        <f>_xlfn.IFNA(VLOOKUP(VeredaTr129[[#This Row],[BUS]],_xlfn._xlws.SORT(TrCeib118[[BUS]:[T2]],11,-1,FALSE),11,FALSE),0)</f>
        <v>0.25416666666666654</v>
      </c>
      <c r="AE7" s="23">
        <f>+VeredaTr129[[#This Row],[∑VeredaTr]]+VeredaTr129[[#This Row],[T2]]</f>
        <v>0.29097222222222208</v>
      </c>
      <c r="AL7" s="7">
        <v>4</v>
      </c>
      <c r="AM7" s="55">
        <f>VLOOKUP(AL7,_xlfn._xlws.SORT(VeredaTr129[[BUS]:[∑]],13,-1,FALSE),13,FALSE)</f>
        <v>0.3562499999999999</v>
      </c>
    </row>
    <row r="8" spans="1:39" x14ac:dyDescent="0.35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VLOOKUP(TrCeib118[[#This Row],[HORA]],'OFERTA (3)'!I:M,5,TRUE)</f>
        <v>1.0416666666666666E-2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4.8611111111111494E-3</v>
      </c>
      <c r="I8" s="23"/>
      <c r="J8" s="23">
        <f t="shared" si="8"/>
        <v>0.25694444444444448</v>
      </c>
      <c r="K8" s="30">
        <f>(G8-C8)+TrCeib118[[#This Row],[Tt_tex]]</f>
        <v>4.2361111111111127E-2</v>
      </c>
      <c r="L8" s="30">
        <f>SUMIF(B$4:$B8,TrCeib118[[#This Row],[BUS]],$K$4:K8)</f>
        <v>4.2361111111111127E-2</v>
      </c>
      <c r="M8" s="23">
        <f>_xlfn.IFNA(VLOOKUP(TrCeib118[[#This Row],[BUS]],_xlfn._xlws.SORT(VeredaTr129[[BUS]:[T2]],11,-1,FALSE),11,FALSE),0)</f>
        <v>0.18402777777777768</v>
      </c>
      <c r="N8" s="23">
        <f>+TrCeib118[[#This Row],[∑TrCeib]]+TrCeib118[[#This Row],[T2]]</f>
        <v>0.22638888888888881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VLOOKUP(VeredaTr129[[#This Row],[HORA]],'OFERTA (3)'!B:F,5,TRUE)</f>
        <v>1.0416666666666666E-2</v>
      </c>
      <c r="W8" s="23">
        <f t="shared" si="9"/>
        <v>3.6805555555555557E-2</v>
      </c>
      <c r="X8" s="23">
        <f t="shared" si="10"/>
        <v>0.29444444444444445</v>
      </c>
      <c r="Y8" s="23">
        <f>+(T7+V8)-T8</f>
        <v>-6.9444444444444198E-4</v>
      </c>
      <c r="Z8" s="23"/>
      <c r="AA8" s="23">
        <f t="shared" si="3"/>
        <v>0.25694444444444448</v>
      </c>
      <c r="AB8" s="30">
        <f t="shared" si="12"/>
        <v>3.6805555555555536E-2</v>
      </c>
      <c r="AC8" s="30">
        <f>SUMIF($S$4:S8,S8,$AB$4:AB8)</f>
        <v>3.6805555555555536E-2</v>
      </c>
      <c r="AD8" s="23">
        <f>_xlfn.IFNA(VLOOKUP(VeredaTr129[[#This Row],[BUS]],_xlfn._xlws.SORT(TrCeib118[[BUS]:[T2]],11,-1,FALSE),11,FALSE),0)</f>
        <v>0.2541666666666666</v>
      </c>
      <c r="AE8" s="23">
        <f>+VeredaTr129[[#This Row],[∑VeredaTr]]+VeredaTr129[[#This Row],[T2]]</f>
        <v>0.29097222222222213</v>
      </c>
      <c r="AL8" s="7">
        <v>5</v>
      </c>
      <c r="AM8" s="55">
        <f>VLOOKUP(AL8,_xlfn._xlws.SORT(VeredaTr129[[BUS]:[∑]],13,-1,FALSE),13,FALSE)</f>
        <v>0.35347222222222208</v>
      </c>
    </row>
    <row r="9" spans="1:39" x14ac:dyDescent="0.35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VLOOKUP(TrCeib118[[#This Row],[HORA]],'OFERTA (3)'!I:M,5,TRUE)</f>
        <v>1.0416666666666666E-2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0</v>
      </c>
      <c r="I9" s="23"/>
      <c r="J9" s="23">
        <f t="shared" si="8"/>
        <v>0.26250000000000001</v>
      </c>
      <c r="K9" s="30">
        <f>(G9-C9)+TrCeib118[[#This Row],[Tt_tex]]</f>
        <v>4.2361111111111127E-2</v>
      </c>
      <c r="L9" s="30">
        <f>SUMIF(B$4:$B9,TrCeib118[[#This Row],[BUS]],$K$4:K9)</f>
        <v>4.2361111111111127E-2</v>
      </c>
      <c r="M9" s="23">
        <f>_xlfn.IFNA(VLOOKUP(TrCeib118[[#This Row],[BUS]],_xlfn._xlws.SORT(VeredaTr129[[BUS]:[T2]],11,-1,FALSE),11,FALSE),0)</f>
        <v>0.18402777777777771</v>
      </c>
      <c r="N9" s="23">
        <f>+TrCeib118[[#This Row],[∑TrCeib]]+TrCeib118[[#This Row],[T2]]</f>
        <v>0.22638888888888883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VLOOKUP(VeredaTr129[[#This Row],[HORA]],'OFERTA (3)'!B:F,5,TRUE)</f>
        <v>1.0416666666666666E-2</v>
      </c>
      <c r="W9" s="23">
        <f t="shared" si="9"/>
        <v>3.6805555555555557E-2</v>
      </c>
      <c r="X9" s="23">
        <f t="shared" si="10"/>
        <v>0.30486111111111108</v>
      </c>
      <c r="Y9" s="23">
        <f t="shared" ref="Y9:Y12" si="13">+(T8+V9)-T9</f>
        <v>0</v>
      </c>
      <c r="Z9" s="23"/>
      <c r="AA9" s="23">
        <f t="shared" si="3"/>
        <v>0.26805555555555555</v>
      </c>
      <c r="AB9" s="30">
        <f t="shared" si="12"/>
        <v>3.6805555555555536E-2</v>
      </c>
      <c r="AC9" s="30">
        <f>SUMIF($S$4:S9,S9,$AB$4:AB9)</f>
        <v>3.6805555555555536E-2</v>
      </c>
      <c r="AD9" s="23">
        <f>_xlfn.IFNA(VLOOKUP(VeredaTr129[[#This Row],[BUS]],_xlfn._xlws.SORT(TrCeib118[[BUS]:[T2]],11,-1,FALSE),11,FALSE),0)</f>
        <v>0.25416666666666654</v>
      </c>
      <c r="AE9" s="23">
        <f>+VeredaTr129[[#This Row],[∑VeredaTr]]+VeredaTr129[[#This Row],[T2]]</f>
        <v>0.29097222222222208</v>
      </c>
      <c r="AL9" s="7">
        <v>6</v>
      </c>
      <c r="AM9" s="55">
        <f>VLOOKUP(AL9,_xlfn._xlws.SORT(VeredaTr129[[BUS]:[∑]],13,-1,FALSE),13,FALSE)</f>
        <v>0.35347222222222208</v>
      </c>
    </row>
    <row r="10" spans="1:39" x14ac:dyDescent="0.35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VLOOKUP(TrCeib118[[#This Row],[HORA]],'OFERTA (3)'!I:M,5,TRUE)</f>
        <v>1.0416666666666666E-2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0</v>
      </c>
      <c r="I10" s="23"/>
      <c r="J10" s="23">
        <f t="shared" si="8"/>
        <v>0.2729166666666667</v>
      </c>
      <c r="K10" s="30">
        <f>(G10-C10)+TrCeib118[[#This Row],[Tt_tex]]</f>
        <v>4.2361111111111127E-2</v>
      </c>
      <c r="L10" s="30">
        <f>SUMIF(B$4:$B10,TrCeib118[[#This Row],[BUS]],$K$4:K10)</f>
        <v>4.2361111111111127E-2</v>
      </c>
      <c r="M10" s="23">
        <f>_xlfn.IFNA(VLOOKUP(TrCeib118[[#This Row],[BUS]],_xlfn._xlws.SORT(VeredaTr129[[BUS]:[T2]],11,-1,FALSE),11,FALSE),0)</f>
        <v>0.22083333333333324</v>
      </c>
      <c r="N10" s="23">
        <f>+TrCeib118[[#This Row],[∑TrCeib]]+TrCeib118[[#This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VLOOKUP(VeredaTr129[[#This Row],[HORA]],'OFERTA (3)'!B:F,5,TRUE)</f>
        <v>1.0416666666666666E-2</v>
      </c>
      <c r="W10" s="23">
        <f t="shared" si="9"/>
        <v>3.6805555555555557E-2</v>
      </c>
      <c r="X10" s="23">
        <f t="shared" si="10"/>
        <v>0.31527777777777777</v>
      </c>
      <c r="Y10" s="23">
        <f t="shared" si="13"/>
        <v>0</v>
      </c>
      <c r="Z10" s="23"/>
      <c r="AA10" s="23">
        <f t="shared" si="3"/>
        <v>0.27847222222222223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_xlfn.IFNA(VLOOKUP(VeredaTr129[[#This Row],[BUS]],_xlfn._xlws.SORT(TrCeib118[[BUS]:[T2]],11,-1,FALSE),11,FALSE),0)</f>
        <v>0.25416666666666654</v>
      </c>
      <c r="AE10" s="23">
        <f>+VeredaTr129[[#This Row],[∑VeredaTr]]+VeredaTr129[[#This Row],[T2]]</f>
        <v>0.29097222222222208</v>
      </c>
      <c r="AL10" s="7">
        <v>7</v>
      </c>
      <c r="AM10" s="55">
        <f>VLOOKUP(AL10,_xlfn._xlws.SORT(VeredaTr129[[BUS]:[∑]],13,-1,FALSE),13,FALSE)</f>
        <v>0.47499999999999976</v>
      </c>
    </row>
    <row r="11" spans="1:39" x14ac:dyDescent="0.35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VLOOKUP(TrCeib118[[#This Row],[HORA]],'OFERTA (3)'!I:M,5,TRUE)</f>
        <v>1.0416666666666666E-2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0</v>
      </c>
      <c r="I11" s="23"/>
      <c r="J11" s="23">
        <f t="shared" si="8"/>
        <v>0.28333333333333333</v>
      </c>
      <c r="K11" s="30">
        <f>(G11-C11)+TrCeib118[[#This Row],[Tt_tex]]</f>
        <v>4.2361111111111127E-2</v>
      </c>
      <c r="L11" s="30">
        <f>SUMIF(B$4:$B11,TrCeib118[[#This Row],[BUS]],$K$4:K11)</f>
        <v>4.2361111111111127E-2</v>
      </c>
      <c r="M11" s="23">
        <f>_xlfn.IFNA(VLOOKUP(TrCeib118[[#This Row],[BUS]],_xlfn._xlws.SORT(VeredaTr129[[BUS]:[T2]],11,-1,FALSE),11,FALSE),0)</f>
        <v>0.22083333333333321</v>
      </c>
      <c r="N11" s="23">
        <f>+TrCeib118[[#This Row],[∑TrCeib]]+TrCeib118[[#This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VLOOKUP(VeredaTr129[[#This Row],[HORA]],'OFERTA (3)'!B:F,5,TRUE)</f>
        <v>1.0416666666666666E-2</v>
      </c>
      <c r="W11" s="23">
        <f t="shared" si="9"/>
        <v>3.6805555555555557E-2</v>
      </c>
      <c r="X11" s="23">
        <f t="shared" si="10"/>
        <v>0.32569444444444445</v>
      </c>
      <c r="Y11" s="23">
        <f t="shared" si="13"/>
        <v>0</v>
      </c>
      <c r="Z11" s="23"/>
      <c r="AA11" s="23">
        <f t="shared" si="3"/>
        <v>0.28888888888888892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_xlfn.IFNA(VLOOKUP(VeredaTr129[[#This Row],[BUS]],_xlfn._xlws.SORT(TrCeib118[[BUS]:[T2]],11,-1,FALSE),11,FALSE),0)</f>
        <v>0.21180555555555552</v>
      </c>
      <c r="AE11" s="23">
        <f>+VeredaTr129[[#This Row],[∑VeredaTr]]+VeredaTr129[[#This Row],[T2]]</f>
        <v>0.24861111111111106</v>
      </c>
      <c r="AL11" s="7">
        <v>8</v>
      </c>
      <c r="AM11" s="55">
        <f>VLOOKUP(AL11,_xlfn._xlws.SORT(VeredaTr129[[BUS]:[∑]],13,-1,FALSE),13,FALSE)</f>
        <v>0.47499999999999976</v>
      </c>
    </row>
    <row r="12" spans="1:39" x14ac:dyDescent="0.35">
      <c r="A12" t="s">
        <v>63</v>
      </c>
      <c r="B12" s="28">
        <v>9</v>
      </c>
      <c r="C12" s="23">
        <v>0.28888888888888892</v>
      </c>
      <c r="D12" s="23">
        <f t="shared" ref="D12:D13" si="14">C12-C11</f>
        <v>5.5555555555555913E-3</v>
      </c>
      <c r="E12" s="23">
        <f>VLOOKUP(TrCeib118[[#This Row],[HORA]],'OFERTA (3)'!I:M,5,TRUE)</f>
        <v>1.0416666666666666E-2</v>
      </c>
      <c r="F12" s="23">
        <f>+$D$2</f>
        <v>4.2361111111111106E-2</v>
      </c>
      <c r="G12" s="23">
        <f>C12+F12</f>
        <v>0.33125000000000004</v>
      </c>
      <c r="H12" s="23">
        <f t="shared" si="7"/>
        <v>4.8611111111110938E-3</v>
      </c>
      <c r="I12" s="23"/>
      <c r="J12" s="23">
        <f>+C12+H12</f>
        <v>0.29375000000000001</v>
      </c>
      <c r="K12" s="30">
        <f>(G12-C12)+TrCeib118[[#This Row],[Tt_tex]]</f>
        <v>4.2361111111111127E-2</v>
      </c>
      <c r="L12" s="30">
        <f>SUMIF(B$4:$B12,TrCeib118[[#This Row],[BUS]],$K$4:K12)</f>
        <v>4.2361111111111127E-2</v>
      </c>
      <c r="M12" s="23">
        <f>_xlfn.IFNA(VLOOKUP(TrCeib118[[#This Row],[BUS]],_xlfn._xlws.SORT(VeredaTr129[[BUS]:[T2]],11,-1,FALSE),11,FALSE),0)</f>
        <v>0.18402777777777768</v>
      </c>
      <c r="N12" s="23">
        <f>+TrCeib118[[#This Row],[∑TrCeib]]+TrCeib118[[#This Row],[T2]]</f>
        <v>0.22638888888888881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VLOOKUP(VeredaTr129[[#This Row],[HORA]],'OFERTA (3)'!B:F,5,TRUE)</f>
        <v>5.5555555555555558E-3</v>
      </c>
      <c r="W12" s="23">
        <f t="shared" si="9"/>
        <v>3.6805555555555557E-2</v>
      </c>
      <c r="X12" s="23">
        <f t="shared" si="10"/>
        <v>0.33124999999999999</v>
      </c>
      <c r="Y12" s="23">
        <f t="shared" si="13"/>
        <v>0</v>
      </c>
      <c r="Z12" s="23"/>
      <c r="AA12" s="23">
        <f t="shared" si="3"/>
        <v>0.29444444444444445</v>
      </c>
      <c r="AB12" s="30">
        <f t="shared" si="12"/>
        <v>3.6805555555555536E-2</v>
      </c>
      <c r="AC12" s="30">
        <f>SUMIF($S$4:S12,S12,$AB$4:AB12)</f>
        <v>7.3611111111111072E-2</v>
      </c>
      <c r="AD12" s="23">
        <f>_xlfn.IFNA(VLOOKUP(VeredaTr129[[#This Row],[BUS]],_xlfn._xlws.SORT(TrCeib118[[BUS]:[T2]],11,-1,FALSE),11,FALSE),0)</f>
        <v>0.1694444444444444</v>
      </c>
      <c r="AE12" s="23">
        <f>+VeredaTr129[[#This Row],[∑VeredaTr]]+VeredaTr129[[#This Row],[T2]]</f>
        <v>0.24305555555555547</v>
      </c>
      <c r="AL12" s="7">
        <v>9</v>
      </c>
      <c r="AM12" s="55">
        <f>VLOOKUP(AL12,_xlfn._xlws.SORT(VeredaTr129[[BUS]:[∑]],13,-1,FALSE),13,FALSE)</f>
        <v>0.43819444444444428</v>
      </c>
    </row>
    <row r="13" spans="1:39" x14ac:dyDescent="0.35">
      <c r="B13" s="28">
        <v>1</v>
      </c>
      <c r="C13" s="23">
        <v>0.29444444444444445</v>
      </c>
      <c r="D13" s="23">
        <f t="shared" si="14"/>
        <v>5.5555555555555358E-3</v>
      </c>
      <c r="E13" s="23">
        <f>VLOOKUP(TrCeib118[[#This Row],[HORA]],'OFERTA (3)'!I:M,5,TRUE)</f>
        <v>5.5555555555555558E-3</v>
      </c>
      <c r="F13" s="23">
        <f t="shared" si="0"/>
        <v>4.2361111111111106E-2</v>
      </c>
      <c r="G13" s="23">
        <f t="shared" si="6"/>
        <v>0.33680555555555558</v>
      </c>
      <c r="H13" s="23">
        <f t="shared" si="7"/>
        <v>0</v>
      </c>
      <c r="I13" s="23"/>
      <c r="J13" s="23">
        <f t="shared" si="8"/>
        <v>0.29444444444444445</v>
      </c>
      <c r="K13" s="30">
        <f>(G13-C13)+TrCeib118[[#This Row],[Tt_tex]]</f>
        <v>4.2361111111111127E-2</v>
      </c>
      <c r="L13" s="30">
        <f>SUMIF(B$4:$B13,TrCeib118[[#This Row],[BUS]],$K$4:K13)</f>
        <v>8.4722222222222254E-2</v>
      </c>
      <c r="M13" s="23">
        <f>_xlfn.IFNA(VLOOKUP(TrCeib118[[#This Row],[BUS]],_xlfn._xlws.SORT(VeredaTr129[[BUS]:[T2]],11,-1,FALSE),11,FALSE),0)</f>
        <v>0.18402777777777768</v>
      </c>
      <c r="N13" s="23">
        <f>+TrCeib118[[#This Row],[∑TrCeib]]+TrCeib118[[#This Row],[T2]]</f>
        <v>0.26874999999999993</v>
      </c>
      <c r="O13" s="23"/>
      <c r="P13" s="22"/>
      <c r="Q13" s="22"/>
      <c r="R13" s="22" t="s">
        <v>63</v>
      </c>
      <c r="S13" s="28">
        <v>13</v>
      </c>
      <c r="T13" s="23">
        <v>0.3</v>
      </c>
      <c r="U13" s="23">
        <f t="shared" ref="U13:U14" si="15">T13-T12</f>
        <v>5.5555555555555358E-3</v>
      </c>
      <c r="V13" s="23">
        <f>VLOOKUP(VeredaTr129[[#This Row],[HORA]],'OFERTA (3)'!B:F,5,TRUE)</f>
        <v>5.5555555555555558E-3</v>
      </c>
      <c r="W13" s="23">
        <f>+$U$2</f>
        <v>3.6805555555555557E-2</v>
      </c>
      <c r="X13" s="23">
        <f>+T13+W13</f>
        <v>0.33680555555555552</v>
      </c>
      <c r="Y13" s="23">
        <f>+(T12+V13)-T13</f>
        <v>0</v>
      </c>
      <c r="Z13" s="23"/>
      <c r="AA13" s="23">
        <f>+T13+Y13</f>
        <v>0.3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_xlfn.IFNA(VLOOKUP(VeredaTr129[[#This Row],[BUS]],_xlfn._xlws.SORT(TrCeib118[[BUS]:[T2]],11,-1,FALSE),11,FALSE),0)</f>
        <v>0.25416666666666654</v>
      </c>
      <c r="AE13" s="23">
        <f>+VeredaTr129[[#This Row],[∑VeredaTr]]+VeredaTr129[[#This Row],[T2]]</f>
        <v>0.29097222222222208</v>
      </c>
      <c r="AL13" s="7">
        <v>10</v>
      </c>
      <c r="AM13" s="55">
        <f>VLOOKUP(AL13,_xlfn._xlws.SORT(VeredaTr129[[BUS]:[∑]],13,-1,FALSE),13,FALSE)</f>
        <v>0.43819444444444428</v>
      </c>
    </row>
    <row r="14" spans="1:39" x14ac:dyDescent="0.35">
      <c r="A14" t="s">
        <v>63</v>
      </c>
      <c r="B14" s="28">
        <v>10</v>
      </c>
      <c r="C14" s="23">
        <v>0.3</v>
      </c>
      <c r="D14" s="23">
        <f t="shared" ref="D14:D15" si="16">C14-C13</f>
        <v>5.5555555555555358E-3</v>
      </c>
      <c r="E14" s="23">
        <f>VLOOKUP(TrCeib118[[#This Row],[HORA]],'OFERTA (3)'!I:M,5,TRUE)</f>
        <v>5.5555555555555558E-3</v>
      </c>
      <c r="F14" s="23">
        <f>+$D$2</f>
        <v>4.2361111111111106E-2</v>
      </c>
      <c r="G14" s="23">
        <f>C14+F14</f>
        <v>0.34236111111111112</v>
      </c>
      <c r="H14" s="23">
        <f t="shared" si="7"/>
        <v>0</v>
      </c>
      <c r="I14" s="23"/>
      <c r="J14" s="23">
        <f>+C14+H14</f>
        <v>0.3</v>
      </c>
      <c r="K14" s="30">
        <f>(G14-C14)+TrCeib118[[#This Row],[Tt_tex]]</f>
        <v>4.2361111111111127E-2</v>
      </c>
      <c r="L14" s="30">
        <f>SUMIF(B$4:$B14,TrCeib118[[#This Row],[BUS]],$K$4:K14)</f>
        <v>4.2361111111111127E-2</v>
      </c>
      <c r="M14" s="23">
        <f>_xlfn.IFNA(VLOOKUP(TrCeib118[[#This Row],[BUS]],_xlfn._xlws.SORT(VeredaTr129[[BUS]:[T2]],11,-1,FALSE),11,FALSE),0)</f>
        <v>0.18402777777777768</v>
      </c>
      <c r="N14" s="23">
        <f>+TrCeib118[[#This Row],[∑TrCeib]]+TrCeib118[[#This Row],[T2]]</f>
        <v>0.22638888888888881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15"/>
        <v>4.8611111111111494E-3</v>
      </c>
      <c r="V14" s="23">
        <f>VLOOKUP(VeredaTr129[[#This Row],[HORA]],'OFERTA (3)'!B:F,5,TRUE)</f>
        <v>5.5555555555555558E-3</v>
      </c>
      <c r="W14" s="23">
        <f t="shared" si="9"/>
        <v>3.6805555555555557E-2</v>
      </c>
      <c r="X14" s="23">
        <f t="shared" si="10"/>
        <v>0.34166666666666667</v>
      </c>
      <c r="Y14" s="23">
        <f t="shared" ref="Y14" si="17">+(T13+V14)-T14</f>
        <v>6.9444444444438647E-4</v>
      </c>
      <c r="Z14" s="23"/>
      <c r="AA14" s="23">
        <f t="shared" si="3"/>
        <v>0.30555555555555552</v>
      </c>
      <c r="AB14" s="30">
        <f t="shared" si="12"/>
        <v>3.6805555555555536E-2</v>
      </c>
      <c r="AC14" s="30">
        <f>SUMIF($S$4:S14,S14,$AB$4:AB14)</f>
        <v>7.3611111111111099E-2</v>
      </c>
      <c r="AD14" s="23">
        <f>_xlfn.IFNA(VLOOKUP(VeredaTr129[[#This Row],[BUS]],_xlfn._xlws.SORT(TrCeib118[[BUS]:[T2]],11,-1,FALSE),11,FALSE),0)</f>
        <v>0.1694444444444444</v>
      </c>
      <c r="AE14" s="23">
        <f>+VeredaTr129[[#This Row],[∑VeredaTr]]+VeredaTr129[[#This Row],[T2]]</f>
        <v>0.2430555555555555</v>
      </c>
      <c r="AL14" s="7">
        <v>11</v>
      </c>
      <c r="AM14" s="55">
        <f>VLOOKUP(AL14,_xlfn._xlws.SORT(VeredaTr129[[BUS]:[∑]],13,-1,FALSE),13,FALSE)</f>
        <v>0.47499999999999976</v>
      </c>
    </row>
    <row r="15" spans="1:39" x14ac:dyDescent="0.35">
      <c r="B15" s="28">
        <v>2</v>
      </c>
      <c r="C15" s="23">
        <v>0.30486111111111108</v>
      </c>
      <c r="D15" s="23">
        <f t="shared" si="16"/>
        <v>4.8611111111110938E-3</v>
      </c>
      <c r="E15" s="23">
        <f>VLOOKUP(TrCeib118[[#This Row],[HORA]],'OFERTA (3)'!I:M,5,TRUE)</f>
        <v>5.5555555555555558E-3</v>
      </c>
      <c r="F15" s="23">
        <f t="shared" si="0"/>
        <v>4.2361111111111106E-2</v>
      </c>
      <c r="G15" s="23">
        <f t="shared" si="6"/>
        <v>0.34722222222222221</v>
      </c>
      <c r="H15" s="23">
        <f t="shared" si="7"/>
        <v>6.9444444444444198E-4</v>
      </c>
      <c r="I15" s="23"/>
      <c r="J15" s="23">
        <f t="shared" si="8"/>
        <v>0.30555555555555552</v>
      </c>
      <c r="K15" s="30">
        <f>(G15-C15)+TrCeib118[[#This Row],[Tt_tex]]</f>
        <v>4.2361111111111127E-2</v>
      </c>
      <c r="L15" s="30">
        <f>SUMIF(B$4:$B15,TrCeib118[[#This Row],[BUS]],$K$4:K15)</f>
        <v>8.4722222222222227E-2</v>
      </c>
      <c r="M15" s="23">
        <f>_xlfn.IFNA(VLOOKUP(TrCeib118[[#This Row],[BUS]],_xlfn._xlws.SORT(VeredaTr129[[BUS]:[T2]],11,-1,FALSE),11,FALSE),0)</f>
        <v>0.18402777777777768</v>
      </c>
      <c r="N15" s="23">
        <f>+TrCeib118[[#This Row],[∑TrCeib]]+TrCeib118[[#This Row],[T2]]</f>
        <v>0.26874999999999993</v>
      </c>
      <c r="O15" s="23"/>
      <c r="P15" s="22"/>
      <c r="Q15" s="22"/>
      <c r="R15" s="22" t="s">
        <v>63</v>
      </c>
      <c r="S15" s="28">
        <v>14</v>
      </c>
      <c r="T15" s="23">
        <v>0.31041666666666667</v>
      </c>
      <c r="U15" s="23">
        <f t="shared" ref="U15:U16" si="18">T15-T14</f>
        <v>5.5555555555555358E-3</v>
      </c>
      <c r="V15" s="23">
        <f>VLOOKUP(VeredaTr129[[#This Row],[HORA]],'OFERTA (3)'!B:F,5,TRUE)</f>
        <v>5.5555555555555558E-3</v>
      </c>
      <c r="W15" s="23">
        <f t="shared" si="9"/>
        <v>3.6805555555555557E-2</v>
      </c>
      <c r="X15" s="23">
        <f t="shared" ref="X15:X19" si="19">+T15+W15</f>
        <v>0.34722222222222221</v>
      </c>
      <c r="Y15" s="23">
        <f t="shared" ref="Y15:Y30" si="20">+(T14+V15)-T15</f>
        <v>0</v>
      </c>
      <c r="Z15" s="23"/>
      <c r="AA15" s="23">
        <f>+T15+Y15</f>
        <v>0.31041666666666667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_xlfn.IFNA(VLOOKUP(VeredaTr129[[#This Row],[BUS]],_xlfn._xlws.SORT(TrCeib118[[BUS]:[T2]],11,-1,FALSE),11,FALSE),0)</f>
        <v>0.25416666666666654</v>
      </c>
      <c r="AE15" s="23">
        <f>+VeredaTr129[[#This Row],[∑VeredaTr]]+VeredaTr129[[#This Row],[T2]]</f>
        <v>0.29097222222222208</v>
      </c>
      <c r="AL15" s="7">
        <v>12</v>
      </c>
      <c r="AM15" s="55">
        <f>VLOOKUP(AL15,_xlfn._xlws.SORT(VeredaTr129[[BUS]:[∑]],13,-1,FALSE),13,FALSE)</f>
        <v>0.47499999999999981</v>
      </c>
    </row>
    <row r="16" spans="1:39" x14ac:dyDescent="0.35">
      <c r="A16" t="s">
        <v>63</v>
      </c>
      <c r="B16" s="28">
        <v>11</v>
      </c>
      <c r="C16" s="23">
        <v>0.31041666666666667</v>
      </c>
      <c r="D16" s="23">
        <f t="shared" ref="D16:D17" si="21">C16-C15</f>
        <v>5.5555555555555913E-3</v>
      </c>
      <c r="E16" s="23">
        <f>VLOOKUP(TrCeib118[[#This Row],[HORA]],'OFERTA (3)'!I:M,5,TRUE)</f>
        <v>5.5555555555555558E-3</v>
      </c>
      <c r="F16" s="23">
        <f>+$D$2</f>
        <v>4.2361111111111106E-2</v>
      </c>
      <c r="G16" s="23">
        <f>C16+F16</f>
        <v>0.3527777777777778</v>
      </c>
      <c r="H16" s="23">
        <f t="shared" si="7"/>
        <v>0</v>
      </c>
      <c r="I16" s="23"/>
      <c r="J16" s="23">
        <f>+C16+H16</f>
        <v>0.31041666666666667</v>
      </c>
      <c r="K16" s="30">
        <f>(G16-C16)+TrCeib118[[#This Row],[Tt_tex]]</f>
        <v>4.2361111111111127E-2</v>
      </c>
      <c r="L16" s="30">
        <f>SUMIF(B$4:$B16,TrCeib118[[#This Row],[BUS]],$K$4:K16)</f>
        <v>4.2361111111111127E-2</v>
      </c>
      <c r="M16" s="23">
        <f>_xlfn.IFNA(VLOOKUP(TrCeib118[[#This Row],[BUS]],_xlfn._xlws.SORT(VeredaTr129[[BUS]:[T2]],11,-1,FALSE),11,FALSE),0)</f>
        <v>0.22083333333333321</v>
      </c>
      <c r="N16" s="23">
        <f>+TrCeib118[[#This Row],[∑TrCeib]]+TrCeib118[[#This Row],[T2]]</f>
        <v>0.26319444444444434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18"/>
        <v>4.8611111111111494E-3</v>
      </c>
      <c r="V16" s="23">
        <f>VLOOKUP(VeredaTr129[[#This Row],[HORA]],'OFERTA (3)'!B:F,5,TRUE)</f>
        <v>5.5555555555555558E-3</v>
      </c>
      <c r="W16" s="23">
        <f t="shared" si="9"/>
        <v>3.6805555555555557E-2</v>
      </c>
      <c r="X16" s="23">
        <f t="shared" si="19"/>
        <v>0.35208333333333336</v>
      </c>
      <c r="Y16" s="23">
        <f t="shared" si="20"/>
        <v>6.9444444444438647E-4</v>
      </c>
      <c r="Z16" s="23"/>
      <c r="AA16" s="23">
        <f t="shared" si="3"/>
        <v>0.31597222222222221</v>
      </c>
      <c r="AB16" s="30">
        <f t="shared" si="12"/>
        <v>3.6805555555555536E-2</v>
      </c>
      <c r="AC16" s="30">
        <f>SUMIF($S$4:S16,S16,$AB$4:AB16)</f>
        <v>7.3611111111111099E-2</v>
      </c>
      <c r="AD16" s="23">
        <f>_xlfn.IFNA(VLOOKUP(VeredaTr129[[#This Row],[BUS]],_xlfn._xlws.SORT(TrCeib118[[BUS]:[T2]],11,-1,FALSE),11,FALSE),0)</f>
        <v>0.25416666666666654</v>
      </c>
      <c r="AE16" s="23">
        <f>+VeredaTr129[[#This Row],[∑VeredaTr]]+VeredaTr129[[#This Row],[T2]]</f>
        <v>0.32777777777777761</v>
      </c>
      <c r="AL16" s="7">
        <v>13</v>
      </c>
      <c r="AM16" s="55">
        <f>VLOOKUP(AL16,_xlfn._xlws.SORT(VeredaTr129[[BUS]:[∑]],13,-1,FALSE),13,FALSE)</f>
        <v>0.47499999999999976</v>
      </c>
    </row>
    <row r="17" spans="1:39" x14ac:dyDescent="0.35">
      <c r="B17" s="28">
        <v>3</v>
      </c>
      <c r="C17" s="23">
        <v>0.31527777777777777</v>
      </c>
      <c r="D17" s="23">
        <f t="shared" si="21"/>
        <v>4.8611111111110938E-3</v>
      </c>
      <c r="E17" s="23">
        <f>VLOOKUP(TrCeib118[[#This Row],[HORA]],'OFERTA (3)'!I:M,5,TRUE)</f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7"/>
        <v>6.9444444444444198E-4</v>
      </c>
      <c r="I17" s="23"/>
      <c r="J17" s="23">
        <f t="shared" si="8"/>
        <v>0.31597222222222221</v>
      </c>
      <c r="K17" s="30">
        <f>(G17-C17)+TrCeib118[[#This Row],[Tt_tex]]</f>
        <v>4.2361111111111127E-2</v>
      </c>
      <c r="L17" s="30">
        <f>SUMIF(B$4:$B17,TrCeib118[[#This Row],[BUS]],$K$4:K17)</f>
        <v>8.4722222222222227E-2</v>
      </c>
      <c r="M17" s="23">
        <f>_xlfn.IFNA(VLOOKUP(TrCeib118[[#This Row],[BUS]],_xlfn._xlws.SORT(VeredaTr129[[BUS]:[T2]],11,-1,FALSE),11,FALSE),0)</f>
        <v>0.1826388888888888</v>
      </c>
      <c r="N17" s="23">
        <f>+TrCeib118[[#This Row],[∑TrCeib]]+TrCeib118[[#This Row],[T2]]</f>
        <v>0.26736111111111105</v>
      </c>
      <c r="O17" s="23"/>
      <c r="P17" s="22"/>
      <c r="Q17" s="22"/>
      <c r="R17" s="22" t="s">
        <v>63</v>
      </c>
      <c r="S17" s="28">
        <v>15</v>
      </c>
      <c r="T17" s="23">
        <v>0.32083333333333336</v>
      </c>
      <c r="U17" s="23">
        <f t="shared" ref="U17:U19" si="22">T17-T16</f>
        <v>5.5555555555555358E-3</v>
      </c>
      <c r="V17" s="23">
        <f>VLOOKUP(VeredaTr129[[#This Row],[HORA]],'OFERTA (3)'!B:F,5,TRUE)</f>
        <v>5.5555555555555558E-3</v>
      </c>
      <c r="W17" s="23">
        <f>+$U$2</f>
        <v>3.6805555555555557E-2</v>
      </c>
      <c r="X17" s="23">
        <f>+T17+W17</f>
        <v>0.3576388888888889</v>
      </c>
      <c r="Y17" s="23">
        <f t="shared" si="20"/>
        <v>0</v>
      </c>
      <c r="Z17" s="23"/>
      <c r="AA17" s="23">
        <f>+T17+Y17</f>
        <v>0.32083333333333336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_xlfn.IFNA(VLOOKUP(VeredaTr129[[#This Row],[BUS]],_xlfn._xlws.SORT(TrCeib118[[BUS]:[T2]],11,-1,FALSE),11,FALSE),0)</f>
        <v>0.1694444444444444</v>
      </c>
      <c r="AE17" s="23">
        <f>+VeredaTr129[[#This Row],[∑VeredaTr]]+VeredaTr129[[#This Row],[T2]]</f>
        <v>0.20624999999999993</v>
      </c>
      <c r="AL17" s="7">
        <v>14</v>
      </c>
      <c r="AM17" s="55">
        <f>VLOOKUP(AL17,_xlfn._xlws.SORT(VeredaTr129[[BUS]:[∑]],13,-1,FALSE),13,FALSE)</f>
        <v>0.47499999999999981</v>
      </c>
    </row>
    <row r="18" spans="1:39" x14ac:dyDescent="0.35">
      <c r="A18" t="s">
        <v>63</v>
      </c>
      <c r="B18" s="28">
        <v>12</v>
      </c>
      <c r="C18" s="23">
        <v>0.32083333333333336</v>
      </c>
      <c r="D18" s="23">
        <f t="shared" ref="D18:D20" si="23">C18-C17</f>
        <v>5.5555555555555913E-3</v>
      </c>
      <c r="E18" s="23">
        <f>VLOOKUP(TrCeib118[[#This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(G18-C18)+TrCeib118[[#This Row],[Tt_tex]]</f>
        <v>4.2361111111111127E-2</v>
      </c>
      <c r="L18" s="30">
        <f>SUMIF(B$4:$B18,TrCeib118[[#This Row],[BUS]],$K$4:K18)</f>
        <v>4.2361111111111127E-2</v>
      </c>
      <c r="M18" s="23">
        <f>_xlfn.IFNA(VLOOKUP(TrCeib118[[#This Row],[BUS]],_xlfn._xlws.SORT(VeredaTr129[[BUS]:[T2]],11,-1,FALSE),11,FALSE),0)</f>
        <v>0.22083333333333321</v>
      </c>
      <c r="N18" s="23">
        <f>+TrCeib118[[#This Row],[∑TrCeib]]+TrCeib118[[#This Row],[T2]]</f>
        <v>0.26319444444444434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2"/>
        <v>4.8611111111110938E-3</v>
      </c>
      <c r="V18" s="23">
        <f>VLOOKUP(VeredaTr129[[#This Row],[HORA]],'OFERTA (3)'!B:F,5,TRUE)</f>
        <v>5.5555555555555558E-3</v>
      </c>
      <c r="W18" s="23">
        <f t="shared" si="9"/>
        <v>3.6805555555555557E-2</v>
      </c>
      <c r="X18" s="23">
        <f t="shared" si="19"/>
        <v>0.36249999999999999</v>
      </c>
      <c r="Y18" s="23">
        <f t="shared" si="20"/>
        <v>6.9444444444444198E-4</v>
      </c>
      <c r="Z18" s="23"/>
      <c r="AA18" s="23">
        <f t="shared" si="3"/>
        <v>0.3263888888888889</v>
      </c>
      <c r="AB18" s="30">
        <f t="shared" si="12"/>
        <v>3.6805555555555536E-2</v>
      </c>
      <c r="AC18" s="30">
        <f>SUMIF($S$4:S18,S18,$AB$4:AB18)</f>
        <v>7.3611111111111072E-2</v>
      </c>
      <c r="AD18" s="23">
        <f>_xlfn.IFNA(VLOOKUP(VeredaTr129[[#This Row],[BUS]],_xlfn._xlws.SORT(TrCeib118[[BUS]:[T2]],11,-1,FALSE),11,FALSE),0)</f>
        <v>0.25416666666666654</v>
      </c>
      <c r="AE18" s="23">
        <f>+VeredaTr129[[#This Row],[∑VeredaTr]]+VeredaTr129[[#This Row],[T2]]</f>
        <v>0.32777777777777761</v>
      </c>
      <c r="AL18" s="7">
        <v>15</v>
      </c>
      <c r="AM18" s="55">
        <f>VLOOKUP(AL18,_xlfn._xlws.SORT(VeredaTr129[[BUS]:[∑]],13,-1,FALSE),13,FALSE)</f>
        <v>0.3166666666666666</v>
      </c>
    </row>
    <row r="19" spans="1:39" x14ac:dyDescent="0.35">
      <c r="B19" s="28">
        <v>4</v>
      </c>
      <c r="C19" s="23">
        <v>0.32569444444444445</v>
      </c>
      <c r="D19" s="23">
        <f t="shared" si="23"/>
        <v>4.8611111111110938E-3</v>
      </c>
      <c r="E19" s="23">
        <f>VLOOKUP(TrCeib118[[#This Row],[HORA]],'OFERTA (3)'!I:M,5,TRUE)</f>
        <v>5.5555555555555558E-3</v>
      </c>
      <c r="F19" s="23">
        <f t="shared" si="0"/>
        <v>4.2361111111111106E-2</v>
      </c>
      <c r="G19" s="23">
        <f t="shared" si="6"/>
        <v>0.36805555555555558</v>
      </c>
      <c r="H19" s="23">
        <f>+(C17+E19)-C19</f>
        <v>-4.8611111111111494E-3</v>
      </c>
      <c r="I19" s="23"/>
      <c r="J19" s="23">
        <f t="shared" si="8"/>
        <v>0.3208333333333333</v>
      </c>
      <c r="K19" s="30">
        <f>(G19-C19)+TrCeib118[[#This Row],[Tt_tex]]</f>
        <v>4.2361111111111127E-2</v>
      </c>
      <c r="L19" s="30">
        <f>SUMIF(B$4:$B19,TrCeib118[[#This Row],[BUS]],$K$4:K19)</f>
        <v>8.4722222222222254E-2</v>
      </c>
      <c r="M19" s="23">
        <f>_xlfn.IFNA(VLOOKUP(TrCeib118[[#This Row],[BUS]],_xlfn._xlws.SORT(VeredaTr129[[BUS]:[T2]],11,-1,FALSE),11,FALSE),0)</f>
        <v>0.14444444444444438</v>
      </c>
      <c r="N19" s="23">
        <f>+TrCeib118[[#This Row],[∑TrCeib]]+TrCeib118[[#This Row],[T2]]</f>
        <v>0.22916666666666663</v>
      </c>
      <c r="O19" s="23"/>
      <c r="P19" s="40"/>
      <c r="Q19"/>
      <c r="R19" s="22"/>
      <c r="S19" s="28">
        <v>9</v>
      </c>
      <c r="T19" s="23">
        <v>0.33125000000000004</v>
      </c>
      <c r="U19" s="23">
        <f t="shared" si="22"/>
        <v>5.5555555555555913E-3</v>
      </c>
      <c r="V19" s="23">
        <f>VLOOKUP(VeredaTr129[[#This Row],[HORA]],'OFERTA (3)'!B:F,5,TRUE)</f>
        <v>5.5555555555555558E-3</v>
      </c>
      <c r="W19" s="23">
        <f t="shared" si="9"/>
        <v>3.6805555555555557E-2</v>
      </c>
      <c r="X19" s="23">
        <f t="shared" si="19"/>
        <v>0.36805555555555558</v>
      </c>
      <c r="Y19" s="23">
        <f t="shared" si="20"/>
        <v>0</v>
      </c>
      <c r="Z19" s="23"/>
      <c r="AA19" s="23">
        <f t="shared" si="3"/>
        <v>0.33125000000000004</v>
      </c>
      <c r="AB19" s="30">
        <f t="shared" si="12"/>
        <v>3.6805555555555536E-2</v>
      </c>
      <c r="AC19" s="30">
        <f>SUMIF($S$4:S19,S19,$AB$4:AB19)</f>
        <v>3.6805555555555536E-2</v>
      </c>
      <c r="AD19" s="23">
        <f>_xlfn.IFNA(VLOOKUP(VeredaTr129[[#This Row],[BUS]],_xlfn._xlws.SORT(TrCeib118[[BUS]:[T2]],11,-1,FALSE),11,FALSE),0)</f>
        <v>0.2541666666666666</v>
      </c>
      <c r="AE19" s="23">
        <f>+VeredaTr129[[#This Row],[∑VeredaTr]]+VeredaTr129[[#This Row],[T2]]</f>
        <v>0.29097222222222213</v>
      </c>
      <c r="AL19" s="7">
        <v>16</v>
      </c>
      <c r="AM19" s="55">
        <f>VLOOKUP(AL19,_xlfn._xlws.SORT(VeredaTr129[[BUS]:[∑]],13,-1,FALSE),13,FALSE)</f>
        <v>0.31666666666666649</v>
      </c>
    </row>
    <row r="20" spans="1:39" x14ac:dyDescent="0.35">
      <c r="B20" s="28">
        <v>5</v>
      </c>
      <c r="C20" s="23">
        <v>0.33124999999999999</v>
      </c>
      <c r="D20" s="23">
        <f t="shared" si="23"/>
        <v>5.5555555555555358E-3</v>
      </c>
      <c r="E20" s="23">
        <f>VLOOKUP(TrCeib118[[#This Row],[HORA]],'OFERTA (3)'!I:M,5,TRUE)</f>
        <v>5.5555555555555558E-3</v>
      </c>
      <c r="F20" s="23">
        <f t="shared" si="0"/>
        <v>4.2361111111111106E-2</v>
      </c>
      <c r="G20" s="23">
        <f>C20+F20</f>
        <v>0.37361111111111112</v>
      </c>
      <c r="H20" s="23">
        <f t="shared" si="7"/>
        <v>0</v>
      </c>
      <c r="I20" s="23"/>
      <c r="J20" s="23">
        <f t="shared" si="8"/>
        <v>0.33124999999999999</v>
      </c>
      <c r="K20" s="30">
        <f>(G20-C20)+TrCeib118[[#This Row],[Tt_tex]]</f>
        <v>4.2361111111111127E-2</v>
      </c>
      <c r="L20" s="30">
        <f>SUMIF(B$4:$B20,TrCeib118[[#This Row],[BUS]],$K$4:K20)</f>
        <v>8.4722222222222254E-2</v>
      </c>
      <c r="M20" s="23">
        <f>_xlfn.IFNA(VLOOKUP(TrCeib118[[#This Row],[BUS]],_xlfn._xlws.SORT(VeredaTr129[[BUS]:[T2]],11,-1,FALSE),11,FALSE),0)</f>
        <v>0.18402777777777768</v>
      </c>
      <c r="N20" s="23">
        <f>+TrCeib118[[#This Row],[∑TrCeib]]+TrCeib118[[#This Row],[T2]]</f>
        <v>0.26874999999999993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ref="U20:U30" si="24">T20-T19</f>
        <v>5.5555555555555358E-3</v>
      </c>
      <c r="V20" s="23">
        <f>VLOOKUP(VeredaTr129[[#This Row],[HORA]],'OFERTA (3)'!B:F,5,TRUE)</f>
        <v>5.5555555555555558E-3</v>
      </c>
      <c r="W20" s="23">
        <f t="shared" si="9"/>
        <v>3.6805555555555557E-2</v>
      </c>
      <c r="X20" s="23">
        <f t="shared" ref="X20:X30" si="25">+T20+W20</f>
        <v>0.37361111111111112</v>
      </c>
      <c r="Y20" s="23">
        <f t="shared" si="20"/>
        <v>0</v>
      </c>
      <c r="Z20" s="23"/>
      <c r="AA20" s="23">
        <f t="shared" si="3"/>
        <v>0.33680555555555558</v>
      </c>
      <c r="AB20" s="30">
        <f t="shared" si="12"/>
        <v>3.6805555555555536E-2</v>
      </c>
      <c r="AC20" s="30">
        <f>SUMIF($S$4:S20,S20,$AB$4:AB20)</f>
        <v>7.3611111111111072E-2</v>
      </c>
      <c r="AD20" s="23">
        <f>_xlfn.IFNA(VLOOKUP(VeredaTr129[[#This Row],[BUS]],_xlfn._xlws.SORT(TrCeib118[[BUS]:[T2]],11,-1,FALSE),11,FALSE),0)</f>
        <v>0.2541666666666666</v>
      </c>
      <c r="AE20" s="23">
        <f>+VeredaTr129[[#This Row],[∑VeredaTr]]+VeredaTr129[[#This Row],[T2]]</f>
        <v>0.32777777777777767</v>
      </c>
      <c r="AL20" s="7">
        <v>17</v>
      </c>
      <c r="AM20" s="55">
        <f>VLOOKUP(AL20,_xlfn._xlws.SORT(VeredaTr129[[BUS]:[∑]],13,-1,FALSE),13,FALSE)</f>
        <v>0.31666666666666649</v>
      </c>
    </row>
    <row r="21" spans="1:39" x14ac:dyDescent="0.35">
      <c r="B21" s="28">
        <v>13</v>
      </c>
      <c r="C21" s="23">
        <v>0.33680555555555552</v>
      </c>
      <c r="D21" s="23">
        <f t="shared" ref="D21:D34" si="26">C21-C20</f>
        <v>5.5555555555555358E-3</v>
      </c>
      <c r="E21" s="23">
        <f>VLOOKUP(TrCeib118[[#This Row],[HORA]],'OFERTA (3)'!I:M,5,TRUE)</f>
        <v>5.5555555555555558E-3</v>
      </c>
      <c r="F21" s="23">
        <f t="shared" si="0"/>
        <v>4.2361111111111106E-2</v>
      </c>
      <c r="G21" s="23">
        <f>C21+F21</f>
        <v>0.37916666666666665</v>
      </c>
      <c r="H21" s="23">
        <f t="shared" si="7"/>
        <v>0</v>
      </c>
      <c r="I21" s="23"/>
      <c r="J21" s="23">
        <f t="shared" si="8"/>
        <v>0.33680555555555552</v>
      </c>
      <c r="K21" s="30">
        <f>(G21-C21)+TrCeib118[[#This Row],[Tt_tex]]</f>
        <v>4.2361111111111127E-2</v>
      </c>
      <c r="L21" s="30">
        <f>SUMIF(B$4:$B21,TrCeib118[[#This Row],[BUS]],$K$4:K21)</f>
        <v>4.2361111111111127E-2</v>
      </c>
      <c r="M21" s="23">
        <f>_xlfn.IFNA(VLOOKUP(TrCeib118[[#This Row],[BUS]],_xlfn._xlws.SORT(VeredaTr129[[BUS]:[T2]],11,-1,FALSE),11,FALSE),0)</f>
        <v>0.22083333333333321</v>
      </c>
      <c r="N21" s="23">
        <f>+TrCeib118[[#This Row],[∑TrCeib]]+TrCeib118[[#This Row],[T2]]</f>
        <v>0.26319444444444434</v>
      </c>
      <c r="O21" s="23"/>
      <c r="P21" s="40"/>
      <c r="Q21" s="22"/>
      <c r="R21" s="22"/>
      <c r="S21" s="28">
        <v>10</v>
      </c>
      <c r="T21" s="23">
        <v>0.34236111111111112</v>
      </c>
      <c r="U21" s="23">
        <f t="shared" si="24"/>
        <v>5.5555555555555358E-3</v>
      </c>
      <c r="V21" s="23">
        <f>VLOOKUP(VeredaTr129[[#This Row],[HORA]],'OFERTA (3)'!B:F,5,TRUE)</f>
        <v>5.5555555555555558E-3</v>
      </c>
      <c r="W21" s="23">
        <f t="shared" si="9"/>
        <v>3.6805555555555557E-2</v>
      </c>
      <c r="X21" s="23">
        <f t="shared" si="25"/>
        <v>0.37916666666666665</v>
      </c>
      <c r="Y21" s="23">
        <f t="shared" si="20"/>
        <v>0</v>
      </c>
      <c r="Z21" s="23"/>
      <c r="AA21" s="23">
        <f t="shared" si="3"/>
        <v>0.34236111111111112</v>
      </c>
      <c r="AB21" s="30">
        <f t="shared" si="12"/>
        <v>3.6805555555555536E-2</v>
      </c>
      <c r="AC21" s="30">
        <f>SUMIF($S$4:S21,S21,$AB$4:AB21)</f>
        <v>3.6805555555555536E-2</v>
      </c>
      <c r="AD21" s="23">
        <f>_xlfn.IFNA(VLOOKUP(VeredaTr129[[#This Row],[BUS]],_xlfn._xlws.SORT(TrCeib118[[BUS]:[T2]],11,-1,FALSE),11,FALSE),0)</f>
        <v>0.2541666666666666</v>
      </c>
      <c r="AE21" s="23">
        <f>+VeredaTr129[[#This Row],[∑VeredaTr]]+VeredaTr129[[#This Row],[T2]]</f>
        <v>0.29097222222222213</v>
      </c>
      <c r="AL21" s="7">
        <v>18</v>
      </c>
      <c r="AM21" s="55">
        <f>VLOOKUP(AL21,_xlfn._xlws.SORT(VeredaTr129[[BUS]:[∑]],13,-1,FALSE),13,FALSE)</f>
        <v>0.35347222222222197</v>
      </c>
    </row>
    <row r="22" spans="1:39" x14ac:dyDescent="0.35">
      <c r="B22" s="28">
        <v>6</v>
      </c>
      <c r="C22" s="23">
        <v>0.34166666666666667</v>
      </c>
      <c r="D22" s="23">
        <f t="shared" si="26"/>
        <v>4.8611111111111494E-3</v>
      </c>
      <c r="E22" s="23">
        <f>VLOOKUP(TrCeib118[[#This Row],[HORA]],'OFERTA (3)'!I:M,5,TRUE)</f>
        <v>5.5555555555555558E-3</v>
      </c>
      <c r="F22" s="23">
        <f t="shared" si="0"/>
        <v>4.2361111111111106E-2</v>
      </c>
      <c r="G22" s="23">
        <f>C22+F22</f>
        <v>0.3840277777777778</v>
      </c>
      <c r="H22" s="23">
        <f t="shared" si="7"/>
        <v>6.9444444444438647E-4</v>
      </c>
      <c r="I22" s="23"/>
      <c r="J22" s="23">
        <f t="shared" si="8"/>
        <v>0.34236111111111106</v>
      </c>
      <c r="K22" s="30">
        <f>(G22-C22)+TrCeib118[[#This Row],[Tt_tex]]</f>
        <v>4.2361111111111127E-2</v>
      </c>
      <c r="L22" s="30">
        <f>SUMIF(B$4:$B22,TrCeib118[[#This Row],[BUS]],$K$4:K22)</f>
        <v>8.4722222222222254E-2</v>
      </c>
      <c r="M22" s="23">
        <f>_xlfn.IFNA(VLOOKUP(TrCeib118[[#This Row],[BUS]],_xlfn._xlws.SORT(VeredaTr129[[BUS]:[T2]],11,-1,FALSE),11,FALSE),0)</f>
        <v>0.18402777777777771</v>
      </c>
      <c r="N22" s="23">
        <f>+TrCeib118[[#This Row],[∑TrCeib]]+TrCeib118[[#This Row],[T2]]</f>
        <v>0.26874999999999993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4"/>
        <v>4.8611111111110938E-3</v>
      </c>
      <c r="V22" s="23">
        <f>VLOOKUP(VeredaTr129[[#This Row],[HORA]],'OFERTA (3)'!B:F,5,TRUE)</f>
        <v>5.5555555555555558E-3</v>
      </c>
      <c r="W22" s="23">
        <f t="shared" si="9"/>
        <v>3.6805555555555557E-2</v>
      </c>
      <c r="X22" s="23">
        <f t="shared" si="25"/>
        <v>0.38402777777777775</v>
      </c>
      <c r="Y22" s="23">
        <f t="shared" si="20"/>
        <v>6.9444444444444198E-4</v>
      </c>
      <c r="Z22" s="23"/>
      <c r="AA22" s="23">
        <f t="shared" si="3"/>
        <v>0.34791666666666665</v>
      </c>
      <c r="AB22" s="30">
        <f t="shared" si="12"/>
        <v>3.6805555555555536E-2</v>
      </c>
      <c r="AC22" s="30">
        <f>SUMIF($S$4:S22,S22,$AB$4:AB22)</f>
        <v>7.3611111111111072E-2</v>
      </c>
      <c r="AD22" s="23">
        <f>_xlfn.IFNA(VLOOKUP(VeredaTr129[[#This Row],[BUS]],_xlfn._xlws.SORT(TrCeib118[[BUS]:[T2]],11,-1,FALSE),11,FALSE),0)</f>
        <v>0.25416666666666654</v>
      </c>
      <c r="AE22" s="23">
        <f>+VeredaTr129[[#This Row],[∑VeredaTr]]+VeredaTr129[[#This Row],[T2]]</f>
        <v>0.32777777777777761</v>
      </c>
      <c r="AL22" s="7">
        <v>19</v>
      </c>
      <c r="AM22" s="55" t="e">
        <f>VLOOKUP(AL22,_xlfn._xlws.SORT(VeredaTr129[[BUS]:[∑]],13,-1,FALSE),13,FALSE)</f>
        <v>#N/A</v>
      </c>
    </row>
    <row r="23" spans="1:39" x14ac:dyDescent="0.35">
      <c r="B23" s="28">
        <v>14</v>
      </c>
      <c r="C23" s="23">
        <v>0.34722222222222221</v>
      </c>
      <c r="D23" s="23">
        <f t="shared" si="26"/>
        <v>5.5555555555555358E-3</v>
      </c>
      <c r="E23" s="23">
        <f>VLOOKUP(TrCeib118[[#This Row],[HORA]],'OFERTA (3)'!I:M,5,TRUE)</f>
        <v>5.5555555555555558E-3</v>
      </c>
      <c r="F23" s="23">
        <f t="shared" si="0"/>
        <v>4.2361111111111106E-2</v>
      </c>
      <c r="G23" s="23">
        <f t="shared" si="6"/>
        <v>0.38958333333333334</v>
      </c>
      <c r="H23" s="23">
        <f t="shared" si="7"/>
        <v>0</v>
      </c>
      <c r="I23" s="23"/>
      <c r="J23" s="23">
        <f t="shared" si="8"/>
        <v>0.34722222222222221</v>
      </c>
      <c r="K23" s="30">
        <f>(G23-C23)+TrCeib118[[#This Row],[Tt_tex]]</f>
        <v>4.2361111111111127E-2</v>
      </c>
      <c r="L23" s="30">
        <f>SUMIF(B$4:$B23,TrCeib118[[#This Row],[BUS]],$K$4:K23)</f>
        <v>4.2361111111111127E-2</v>
      </c>
      <c r="M23" s="23">
        <f>_xlfn.IFNA(VLOOKUP(TrCeib118[[#This Row],[BUS]],_xlfn._xlws.SORT(VeredaTr129[[BUS]:[T2]],11,-1,FALSE),11,FALSE),0)</f>
        <v>0.22083333333333327</v>
      </c>
      <c r="N23" s="23">
        <f>+TrCeib118[[#This Row],[∑TrCeib]]+TrCeib118[[#This Row],[T2]]</f>
        <v>0.2631944444444444</v>
      </c>
      <c r="O23" s="23"/>
      <c r="P23" s="40"/>
      <c r="Q23"/>
      <c r="R23" s="22"/>
      <c r="S23" s="28">
        <v>11</v>
      </c>
      <c r="T23" s="23">
        <v>0.3527777777777778</v>
      </c>
      <c r="U23" s="23">
        <f t="shared" si="24"/>
        <v>5.5555555555555913E-3</v>
      </c>
      <c r="V23" s="23">
        <f>VLOOKUP(VeredaTr129[[#This Row],[HORA]],'OFERTA (3)'!B:F,5,TRUE)</f>
        <v>5.5555555555555558E-3</v>
      </c>
      <c r="W23" s="23">
        <f t="shared" si="9"/>
        <v>3.6805555555555557E-2</v>
      </c>
      <c r="X23" s="23">
        <f t="shared" si="25"/>
        <v>0.38958333333333334</v>
      </c>
      <c r="Y23" s="23">
        <f t="shared" si="20"/>
        <v>0</v>
      </c>
      <c r="Z23" s="23"/>
      <c r="AA23" s="23">
        <f t="shared" si="3"/>
        <v>0.3527777777777778</v>
      </c>
      <c r="AB23" s="30">
        <f t="shared" si="12"/>
        <v>3.6805555555555536E-2</v>
      </c>
      <c r="AC23" s="30">
        <f>SUMIF($S$4:S23,S23,$AB$4:AB23)</f>
        <v>3.6805555555555536E-2</v>
      </c>
      <c r="AD23" s="23">
        <f>_xlfn.IFNA(VLOOKUP(VeredaTr129[[#This Row],[BUS]],_xlfn._xlws.SORT(TrCeib118[[BUS]:[T2]],11,-1,FALSE),11,FALSE),0)</f>
        <v>0.25416666666666654</v>
      </c>
      <c r="AE23" s="23">
        <f>+VeredaTr129[[#This Row],[∑VeredaTr]]+VeredaTr129[[#This Row],[T2]]</f>
        <v>0.29097222222222208</v>
      </c>
      <c r="AL23" s="7">
        <v>20</v>
      </c>
      <c r="AM23" s="55" t="e">
        <f>VLOOKUP(AL23,_xlfn._xlws.SORT(VeredaTr129[[BUS]:[∑]],13,-1,FALSE),13,FALSE)</f>
        <v>#N/A</v>
      </c>
    </row>
    <row r="24" spans="1:39" x14ac:dyDescent="0.35">
      <c r="A24" t="s">
        <v>70</v>
      </c>
      <c r="B24" s="28">
        <v>7</v>
      </c>
      <c r="C24" s="23">
        <v>0.35208333333333336</v>
      </c>
      <c r="D24" s="23">
        <f t="shared" si="26"/>
        <v>4.8611111111111494E-3</v>
      </c>
      <c r="E24" s="23">
        <f>VLOOKUP(TrCeib118[[#This Row],[HORA]],'OFERTA (3)'!I:M,5,TRUE)</f>
        <v>5.5555555555555558E-3</v>
      </c>
      <c r="F24" s="23">
        <f t="shared" si="0"/>
        <v>4.2361111111111106E-2</v>
      </c>
      <c r="G24" s="23">
        <f>C24+F24</f>
        <v>0.39444444444444449</v>
      </c>
      <c r="H24" s="23">
        <f t="shared" si="7"/>
        <v>6.9444444444438647E-4</v>
      </c>
      <c r="I24" s="23"/>
      <c r="J24" s="23">
        <f t="shared" si="8"/>
        <v>0.35277777777777775</v>
      </c>
      <c r="K24" s="30">
        <f>(G24-C24)+TrCeib118[[#This Row],[Tt_tex]]</f>
        <v>4.2361111111111127E-2</v>
      </c>
      <c r="L24" s="30">
        <f>SUMIF(B$4:$B24,TrCeib118[[#This Row],[BUS]],$K$4:K24)</f>
        <v>8.4722222222222254E-2</v>
      </c>
      <c r="M24" s="23">
        <f>_xlfn.IFNA(VLOOKUP(TrCeib118[[#This Row],[BUS]],_xlfn._xlws.SORT(VeredaTr129[[BUS]:[T2]],11,-1,FALSE),11,FALSE),0)</f>
        <v>0.22083333333333324</v>
      </c>
      <c r="N24" s="23">
        <f>+TrCeib118[[#This Row],[∑TrCeib]]+TrCeib118[[#This Row],[T2]]</f>
        <v>0.30555555555555547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4"/>
        <v>4.8611111111110938E-3</v>
      </c>
      <c r="V24" s="23">
        <f>VLOOKUP(VeredaTr129[[#This Row],[HORA]],'OFERTA (3)'!B:F,5,TRUE)</f>
        <v>5.5555555555555558E-3</v>
      </c>
      <c r="W24" s="23">
        <f t="shared" si="9"/>
        <v>3.6805555555555557E-2</v>
      </c>
      <c r="X24" s="23">
        <f t="shared" si="25"/>
        <v>0.39444444444444443</v>
      </c>
      <c r="Y24" s="23">
        <f t="shared" si="20"/>
        <v>6.9444444444444198E-4</v>
      </c>
      <c r="Z24" s="23"/>
      <c r="AA24" s="23">
        <f t="shared" si="3"/>
        <v>0.35833333333333334</v>
      </c>
      <c r="AB24" s="30">
        <f t="shared" si="12"/>
        <v>3.6805555555555536E-2</v>
      </c>
      <c r="AC24" s="30">
        <f>SUMIF($S$4:S24,S24,$AB$4:AB24)</f>
        <v>7.3611111111111072E-2</v>
      </c>
      <c r="AD24" s="23">
        <f>_xlfn.IFNA(VLOOKUP(VeredaTr129[[#This Row],[BUS]],_xlfn._xlws.SORT(TrCeib118[[BUS]:[T2]],11,-1,FALSE),11,FALSE),0)</f>
        <v>0.25416666666666654</v>
      </c>
      <c r="AE24" s="23">
        <f>+VeredaTr129[[#This Row],[∑VeredaTr]]+VeredaTr129[[#This Row],[T2]]</f>
        <v>0.32777777777777761</v>
      </c>
      <c r="AL24" s="7">
        <v>21</v>
      </c>
      <c r="AM24" s="55" t="e">
        <f>VLOOKUP(AL24,_xlfn._xlws.SORT(VeredaTr129[[BUS]:[∑]],13,-1,FALSE),13,FALSE)</f>
        <v>#N/A</v>
      </c>
    </row>
    <row r="25" spans="1:39" x14ac:dyDescent="0.35">
      <c r="B25" s="28">
        <v>15</v>
      </c>
      <c r="C25" s="23">
        <v>0.3576388888888889</v>
      </c>
      <c r="D25" s="23">
        <f t="shared" si="26"/>
        <v>5.5555555555555358E-3</v>
      </c>
      <c r="E25" s="23">
        <f>VLOOKUP(TrCeib118[[#This Row],[HORA]],'OFERTA (3)'!I:M,5,TRUE)</f>
        <v>5.5555555555555558E-3</v>
      </c>
      <c r="F25" s="23">
        <f t="shared" si="0"/>
        <v>4.2361111111111106E-2</v>
      </c>
      <c r="G25" s="23">
        <f t="shared" si="6"/>
        <v>0.4</v>
      </c>
      <c r="H25" s="23">
        <f t="shared" si="7"/>
        <v>0</v>
      </c>
      <c r="I25" s="23"/>
      <c r="J25" s="23">
        <f t="shared" si="8"/>
        <v>0.3576388888888889</v>
      </c>
      <c r="K25" s="30">
        <f>(G25-C25)+TrCeib118[[#This Row],[Tt_tex]]</f>
        <v>4.2361111111111127E-2</v>
      </c>
      <c r="L25" s="30">
        <f>SUMIF(B$4:$B25,TrCeib118[[#This Row],[BUS]],$K$4:K25)</f>
        <v>4.2361111111111127E-2</v>
      </c>
      <c r="M25" s="23">
        <f>_xlfn.IFNA(VLOOKUP(TrCeib118[[#This Row],[BUS]],_xlfn._xlws.SORT(VeredaTr129[[BUS]:[T2]],11,-1,FALSE),11,FALSE),0)</f>
        <v>0.1472222222222222</v>
      </c>
      <c r="N25" s="23">
        <f>+TrCeib118[[#This Row],[∑TrCeib]]+TrCeib118[[#This Row],[T2]]</f>
        <v>0.18958333333333333</v>
      </c>
      <c r="O25" s="23"/>
      <c r="P25" s="40"/>
      <c r="Q25"/>
      <c r="R25" s="22"/>
      <c r="S25" s="28">
        <v>12</v>
      </c>
      <c r="T25" s="23">
        <v>0.36319444444444449</v>
      </c>
      <c r="U25" s="23">
        <f t="shared" si="24"/>
        <v>5.5555555555555913E-3</v>
      </c>
      <c r="V25" s="23">
        <f>VLOOKUP(VeredaTr129[[#This Row],[HORA]],'OFERTA (3)'!B:F,5,TRUE)</f>
        <v>5.5555555555555558E-3</v>
      </c>
      <c r="W25" s="23">
        <f t="shared" si="9"/>
        <v>3.6805555555555557E-2</v>
      </c>
      <c r="X25" s="23">
        <f t="shared" si="25"/>
        <v>0.4</v>
      </c>
      <c r="Y25" s="23">
        <f t="shared" si="20"/>
        <v>0</v>
      </c>
      <c r="Z25" s="23"/>
      <c r="AA25" s="23">
        <f t="shared" si="3"/>
        <v>0.36319444444444449</v>
      </c>
      <c r="AB25" s="30">
        <f t="shared" si="12"/>
        <v>3.6805555555555536E-2</v>
      </c>
      <c r="AC25" s="30">
        <f>SUMIF($S$4:S25,S25,$AB$4:AB25)</f>
        <v>3.6805555555555536E-2</v>
      </c>
      <c r="AD25" s="23">
        <f>_xlfn.IFNA(VLOOKUP(VeredaTr129[[#This Row],[BUS]],_xlfn._xlws.SORT(TrCeib118[[BUS]:[T2]],11,-1,FALSE),11,FALSE),0)</f>
        <v>0.2541666666666666</v>
      </c>
      <c r="AE25" s="23">
        <f>+VeredaTr129[[#This Row],[∑VeredaTr]]+VeredaTr129[[#This Row],[T2]]</f>
        <v>0.29097222222222213</v>
      </c>
      <c r="AL25" s="7">
        <v>22</v>
      </c>
      <c r="AM25" s="55" t="e">
        <f>VLOOKUP(AL25,_xlfn._xlws.SORT(VeredaTr129[[BUS]:[∑]],13,-1,FALSE),13,FALSE)</f>
        <v>#N/A</v>
      </c>
    </row>
    <row r="26" spans="1:39" x14ac:dyDescent="0.35">
      <c r="A26" t="s">
        <v>70</v>
      </c>
      <c r="B26" s="28">
        <v>8</v>
      </c>
      <c r="C26" s="23">
        <v>0.36249999999999999</v>
      </c>
      <c r="D26" s="23">
        <f t="shared" si="26"/>
        <v>4.8611111111110938E-3</v>
      </c>
      <c r="E26" s="23">
        <f>VLOOKUP(TrCeib118[[#This Row],[HORA]],'OFERTA (3)'!I:M,5,TRUE)</f>
        <v>5.5555555555555558E-3</v>
      </c>
      <c r="F26" s="23">
        <f t="shared" si="0"/>
        <v>4.2361111111111106E-2</v>
      </c>
      <c r="G26" s="23">
        <f>C26+F26</f>
        <v>0.40486111111111112</v>
      </c>
      <c r="H26" s="23">
        <f t="shared" si="7"/>
        <v>6.9444444444444198E-4</v>
      </c>
      <c r="I26" s="23"/>
      <c r="J26" s="23">
        <f t="shared" si="8"/>
        <v>0.36319444444444443</v>
      </c>
      <c r="K26" s="30">
        <f>(G26-C26)+TrCeib118[[#This Row],[Tt_tex]]</f>
        <v>4.2361111111111127E-2</v>
      </c>
      <c r="L26" s="30">
        <f>SUMIF(B$4:$B26,TrCeib118[[#This Row],[BUS]],$K$4:K26)</f>
        <v>8.4722222222222254E-2</v>
      </c>
      <c r="M26" s="23">
        <f>_xlfn.IFNA(VLOOKUP(TrCeib118[[#This Row],[BUS]],_xlfn._xlws.SORT(VeredaTr129[[BUS]:[T2]],11,-1,FALSE),11,FALSE),0)</f>
        <v>0.22083333333333321</v>
      </c>
      <c r="N26" s="23">
        <f>+TrCeib118[[#This Row],[∑TrCeib]]+TrCeib118[[#This Row],[T2]]</f>
        <v>0.30555555555555547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4"/>
        <v>4.8611111111110938E-3</v>
      </c>
      <c r="V26" s="23">
        <f>VLOOKUP(VeredaTr129[[#This Row],[HORA]],'OFERTA (3)'!B:F,5,TRUE)</f>
        <v>5.5555555555555558E-3</v>
      </c>
      <c r="W26" s="23">
        <f t="shared" si="9"/>
        <v>3.6805555555555557E-2</v>
      </c>
      <c r="X26" s="23">
        <f t="shared" si="25"/>
        <v>0.40486111111111112</v>
      </c>
      <c r="Y26" s="23">
        <f t="shared" si="20"/>
        <v>6.9444444444444198E-4</v>
      </c>
      <c r="Z26" s="23"/>
      <c r="AA26" s="23">
        <f t="shared" si="3"/>
        <v>0.36875000000000002</v>
      </c>
      <c r="AB26" s="30">
        <f t="shared" si="12"/>
        <v>3.6805555555555536E-2</v>
      </c>
      <c r="AC26" s="30">
        <f>SUMIF($S$4:S26,S26,$AB$4:AB26)</f>
        <v>7.3611111111111072E-2</v>
      </c>
      <c r="AD26" s="23">
        <f>_xlfn.IFNA(VLOOKUP(VeredaTr129[[#This Row],[BUS]],_xlfn._xlws.SORT(TrCeib118[[BUS]:[T2]],11,-1,FALSE),11,FALSE),0)</f>
        <v>0.21180555555555552</v>
      </c>
      <c r="AE26" s="23">
        <f>+VeredaTr129[[#This Row],[∑VeredaTr]]+VeredaTr129[[#This Row],[T2]]</f>
        <v>0.2854166666666666</v>
      </c>
      <c r="AL26" s="7">
        <v>23</v>
      </c>
      <c r="AM26" s="55" t="e">
        <f>VLOOKUP(AL26,_xlfn._xlws.SORT(VeredaTr129[[BUS]:[∑]],13,-1,FALSE),13,FALSE)</f>
        <v>#N/A</v>
      </c>
    </row>
    <row r="27" spans="1:39" x14ac:dyDescent="0.35">
      <c r="B27" s="28">
        <v>9</v>
      </c>
      <c r="C27" s="23">
        <v>0.36805555555555558</v>
      </c>
      <c r="D27" s="23">
        <f t="shared" si="26"/>
        <v>5.5555555555555913E-3</v>
      </c>
      <c r="E27" s="23">
        <f>VLOOKUP(TrCeib118[[#This Row],[HORA]],'OFERTA (3)'!I:M,5,TRUE)</f>
        <v>5.5555555555555558E-3</v>
      </c>
      <c r="F27" s="23">
        <f t="shared" si="0"/>
        <v>4.2361111111111106E-2</v>
      </c>
      <c r="G27" s="23">
        <f t="shared" si="6"/>
        <v>0.41041666666666671</v>
      </c>
      <c r="H27" s="23">
        <f t="shared" si="7"/>
        <v>0</v>
      </c>
      <c r="I27" s="23"/>
      <c r="J27" s="23">
        <f t="shared" si="8"/>
        <v>0.36805555555555558</v>
      </c>
      <c r="K27" s="30">
        <f>(G27-C27)+TrCeib118[[#This Row],[Tt_tex]]</f>
        <v>4.2361111111111127E-2</v>
      </c>
      <c r="L27" s="30">
        <f>SUMIF(B$4:$B27,TrCeib118[[#This Row],[BUS]],$K$4:K27)</f>
        <v>8.4722222222222254E-2</v>
      </c>
      <c r="M27" s="23">
        <f>_xlfn.IFNA(VLOOKUP(TrCeib118[[#This Row],[BUS]],_xlfn._xlws.SORT(VeredaTr129[[BUS]:[T2]],11,-1,FALSE),11,FALSE),0)</f>
        <v>0.18402777777777768</v>
      </c>
      <c r="N27" s="23">
        <f>+TrCeib118[[#This Row],[∑TrCeib]]+TrCeib118[[#This Row],[T2]]</f>
        <v>0.26874999999999993</v>
      </c>
      <c r="O27" s="23"/>
      <c r="P27" s="40"/>
      <c r="Q27"/>
      <c r="R27" s="22" t="s">
        <v>70</v>
      </c>
      <c r="S27" s="28">
        <v>5</v>
      </c>
      <c r="T27" s="23">
        <v>0.37361111111111112</v>
      </c>
      <c r="U27" s="23">
        <f t="shared" si="24"/>
        <v>5.5555555555555358E-3</v>
      </c>
      <c r="V27" s="23">
        <f>VLOOKUP(VeredaTr129[[#This Row],[HORA]],'OFERTA (3)'!B:F,5,TRUE)</f>
        <v>5.5555555555555558E-3</v>
      </c>
      <c r="W27" s="23">
        <f t="shared" si="9"/>
        <v>3.6805555555555557E-2</v>
      </c>
      <c r="X27" s="23">
        <f t="shared" si="25"/>
        <v>0.41041666666666665</v>
      </c>
      <c r="Y27" s="23">
        <f t="shared" si="20"/>
        <v>0</v>
      </c>
      <c r="Z27" s="23"/>
      <c r="AA27" s="23">
        <f t="shared" si="3"/>
        <v>0.37361111111111112</v>
      </c>
      <c r="AB27" s="30">
        <f t="shared" si="12"/>
        <v>3.6805555555555536E-2</v>
      </c>
      <c r="AC27" s="30">
        <f>SUMIF($S$4:S27,S27,$AB$4:AB27)</f>
        <v>0.11041666666666661</v>
      </c>
      <c r="AD27" s="23">
        <f>_xlfn.IFNA(VLOOKUP(VeredaTr129[[#This Row],[BUS]],_xlfn._xlws.SORT(TrCeib118[[BUS]:[T2]],11,-1,FALSE),11,FALSE),0)</f>
        <v>0.1694444444444444</v>
      </c>
      <c r="AE27" s="23">
        <f>+VeredaTr129[[#This Row],[∑VeredaTr]]+VeredaTr129[[#This Row],[T2]]</f>
        <v>0.27986111111111101</v>
      </c>
      <c r="AL27" s="7">
        <v>24</v>
      </c>
      <c r="AM27" s="55" t="e">
        <f>VLOOKUP(AL27,_xlfn._xlws.SORT(VeredaTr129[[BUS]:[∑]],13,-1,FALSE),13,FALSE)</f>
        <v>#N/A</v>
      </c>
    </row>
    <row r="28" spans="1:39" x14ac:dyDescent="0.35">
      <c r="A28" t="s">
        <v>70</v>
      </c>
      <c r="B28" s="28">
        <v>1</v>
      </c>
      <c r="C28" s="23">
        <v>0.37361111111111112</v>
      </c>
      <c r="D28" s="23">
        <f t="shared" si="26"/>
        <v>5.5555555555555358E-3</v>
      </c>
      <c r="E28" s="23">
        <f>VLOOKUP(TrCeib118[[#This Row],[HORA]],'OFERTA (3)'!I:M,5,TRUE)</f>
        <v>5.5555555555555558E-3</v>
      </c>
      <c r="F28" s="23">
        <f t="shared" si="0"/>
        <v>4.2361111111111106E-2</v>
      </c>
      <c r="G28" s="23">
        <f>C28+F28</f>
        <v>0.41597222222222224</v>
      </c>
      <c r="H28" s="23">
        <f t="shared" si="7"/>
        <v>0</v>
      </c>
      <c r="I28" s="23"/>
      <c r="J28" s="23">
        <f t="shared" si="8"/>
        <v>0.37361111111111112</v>
      </c>
      <c r="K28" s="30">
        <f>(G28-C28)+TrCeib118[[#This Row],[Tt_tex]]</f>
        <v>4.2361111111111127E-2</v>
      </c>
      <c r="L28" s="30">
        <f>SUMIF(B$4:$B28,TrCeib118[[#This Row],[BUS]],$K$4:K28)</f>
        <v>0.12708333333333338</v>
      </c>
      <c r="M28" s="23">
        <f>_xlfn.IFNA(VLOOKUP(TrCeib118[[#This Row],[BUS]],_xlfn._xlws.SORT(VeredaTr129[[BUS]:[T2]],11,-1,FALSE),11,FALSE),0)</f>
        <v>0.18402777777777768</v>
      </c>
      <c r="N28" s="23">
        <f>+TrCeib118[[#This Row],[∑TrCeib]]+TrCeib118[[#This Row],[T2]]</f>
        <v>0.31111111111111106</v>
      </c>
      <c r="O28" s="23"/>
      <c r="P28" s="40"/>
      <c r="Q28"/>
      <c r="R28" s="22"/>
      <c r="S28" s="28">
        <v>13</v>
      </c>
      <c r="T28" s="23">
        <v>0.37916666666666665</v>
      </c>
      <c r="U28" s="23">
        <f t="shared" si="24"/>
        <v>5.5555555555555358E-3</v>
      </c>
      <c r="V28" s="23">
        <f>VLOOKUP(VeredaTr129[[#This Row],[HORA]],'OFERTA (3)'!B:F,5,TRUE)</f>
        <v>5.5555555555555558E-3</v>
      </c>
      <c r="W28" s="23">
        <f t="shared" si="9"/>
        <v>3.6805555555555557E-2</v>
      </c>
      <c r="X28" s="23">
        <f t="shared" si="25"/>
        <v>0.41597222222222219</v>
      </c>
      <c r="Y28" s="23">
        <f t="shared" si="20"/>
        <v>0</v>
      </c>
      <c r="Z28" s="23"/>
      <c r="AA28" s="23">
        <f t="shared" si="3"/>
        <v>0.37916666666666665</v>
      </c>
      <c r="AB28" s="30">
        <f t="shared" si="12"/>
        <v>3.6805555555555536E-2</v>
      </c>
      <c r="AC28" s="30">
        <f>SUMIF($S$4:S28,S28,$AB$4:AB28)</f>
        <v>7.3611111111111072E-2</v>
      </c>
      <c r="AD28" s="23">
        <f>_xlfn.IFNA(VLOOKUP(VeredaTr129[[#This Row],[BUS]],_xlfn._xlws.SORT(TrCeib118[[BUS]:[T2]],11,-1,FALSE),11,FALSE),0)</f>
        <v>0.25416666666666654</v>
      </c>
      <c r="AE28" s="23">
        <f>+VeredaTr129[[#This Row],[∑VeredaTr]]+VeredaTr129[[#This Row],[T2]]</f>
        <v>0.32777777777777761</v>
      </c>
    </row>
    <row r="29" spans="1:39" x14ac:dyDescent="0.35">
      <c r="B29" s="28">
        <v>10</v>
      </c>
      <c r="C29" s="23">
        <v>0.37916666666666665</v>
      </c>
      <c r="D29" s="23">
        <f t="shared" si="26"/>
        <v>5.5555555555555358E-3</v>
      </c>
      <c r="E29" s="23">
        <f>VLOOKUP(TrCeib118[[#This Row],[HORA]],'OFERTA (3)'!I:M,5,TRUE)</f>
        <v>5.5555555555555558E-3</v>
      </c>
      <c r="F29" s="23">
        <f t="shared" si="0"/>
        <v>4.2361111111111106E-2</v>
      </c>
      <c r="G29" s="23">
        <f t="shared" ref="G29:G34" si="27">C29+F29</f>
        <v>0.42152777777777778</v>
      </c>
      <c r="H29" s="23">
        <f t="shared" si="7"/>
        <v>0</v>
      </c>
      <c r="I29" s="23"/>
      <c r="J29" s="23">
        <f t="shared" si="8"/>
        <v>0.37916666666666665</v>
      </c>
      <c r="K29" s="30">
        <f>(G29-C29)+TrCeib118[[#This Row],[Tt_tex]]</f>
        <v>4.2361111111111127E-2</v>
      </c>
      <c r="L29" s="30">
        <f>SUMIF(B$4:$B29,TrCeib118[[#This Row],[BUS]],$K$4:K29)</f>
        <v>8.4722222222222254E-2</v>
      </c>
      <c r="M29" s="23">
        <f>_xlfn.IFNA(VLOOKUP(TrCeib118[[#This Row],[BUS]],_xlfn._xlws.SORT(VeredaTr129[[BUS]:[T2]],11,-1,FALSE),11,FALSE),0)</f>
        <v>0.18402777777777768</v>
      </c>
      <c r="N29" s="23">
        <f>+TrCeib118[[#This Row],[∑TrCeib]]+TrCeib118[[#This Row],[T2]]</f>
        <v>0.26874999999999993</v>
      </c>
      <c r="O29" s="23"/>
      <c r="P29" s="40"/>
      <c r="Q29"/>
      <c r="R29" s="22" t="s">
        <v>70</v>
      </c>
      <c r="S29" s="28">
        <v>6</v>
      </c>
      <c r="T29" s="23">
        <v>0.3840277777777778</v>
      </c>
      <c r="U29" s="23">
        <f t="shared" si="24"/>
        <v>4.8611111111111494E-3</v>
      </c>
      <c r="V29" s="23">
        <f>VLOOKUP(VeredaTr129[[#This Row],[HORA]],'OFERTA (3)'!B:F,5,TRUE)</f>
        <v>5.5555555555555558E-3</v>
      </c>
      <c r="W29" s="23">
        <f t="shared" si="9"/>
        <v>3.6805555555555557E-2</v>
      </c>
      <c r="X29" s="23">
        <f t="shared" si="25"/>
        <v>0.42083333333333334</v>
      </c>
      <c r="Y29" s="23">
        <f t="shared" si="20"/>
        <v>6.9444444444438647E-4</v>
      </c>
      <c r="Z29" s="23"/>
      <c r="AA29" s="23">
        <f t="shared" si="3"/>
        <v>0.38472222222222219</v>
      </c>
      <c r="AB29" s="30">
        <f t="shared" si="12"/>
        <v>3.6805555555555536E-2</v>
      </c>
      <c r="AC29" s="30">
        <f>SUMIF($S$4:S29,S29,$AB$4:AB29)</f>
        <v>0.11041666666666664</v>
      </c>
      <c r="AD29" s="23">
        <f>_xlfn.IFNA(VLOOKUP(VeredaTr129[[#This Row],[BUS]],_xlfn._xlws.SORT(TrCeib118[[BUS]:[T2]],11,-1,FALSE),11,FALSE),0)</f>
        <v>0.1694444444444444</v>
      </c>
      <c r="AE29" s="23">
        <f>+VeredaTr129[[#This Row],[∑VeredaTr]]+VeredaTr129[[#This Row],[T2]]</f>
        <v>0.27986111111111101</v>
      </c>
    </row>
    <row r="30" spans="1:39" x14ac:dyDescent="0.35">
      <c r="A30" t="s">
        <v>70</v>
      </c>
      <c r="B30" s="28">
        <v>2</v>
      </c>
      <c r="C30" s="23">
        <v>0.38402777777777775</v>
      </c>
      <c r="D30" s="23">
        <f t="shared" si="26"/>
        <v>4.8611111111110938E-3</v>
      </c>
      <c r="E30" s="23">
        <f>VLOOKUP(TrCeib118[[#This Row],[HORA]],'OFERTA (3)'!I:M,5,TRUE)</f>
        <v>5.5555555555555558E-3</v>
      </c>
      <c r="F30" s="23">
        <f t="shared" si="0"/>
        <v>4.2361111111111106E-2</v>
      </c>
      <c r="G30" s="23">
        <f t="shared" si="27"/>
        <v>0.42638888888888887</v>
      </c>
      <c r="H30" s="23">
        <f t="shared" si="7"/>
        <v>6.9444444444444198E-4</v>
      </c>
      <c r="I30" s="23"/>
      <c r="J30" s="23">
        <f t="shared" si="8"/>
        <v>0.38472222222222219</v>
      </c>
      <c r="K30" s="30">
        <f>(G30-C30)+TrCeib118[[#This Row],[Tt_tex]]</f>
        <v>4.2361111111111127E-2</v>
      </c>
      <c r="L30" s="30">
        <f>SUMIF(B$4:$B30,TrCeib118[[#This Row],[BUS]],$K$4:K30)</f>
        <v>0.12708333333333335</v>
      </c>
      <c r="M30" s="23">
        <f>_xlfn.IFNA(VLOOKUP(TrCeib118[[#This Row],[BUS]],_xlfn._xlws.SORT(VeredaTr129[[BUS]:[T2]],11,-1,FALSE),11,FALSE),0)</f>
        <v>0.18402777777777768</v>
      </c>
      <c r="N30" s="23">
        <f>+TrCeib118[[#This Row],[∑TrCeib]]+TrCeib118[[#This Row],[T2]]</f>
        <v>0.31111111111111101</v>
      </c>
      <c r="O30" s="23"/>
      <c r="P30" s="40"/>
      <c r="Q30"/>
      <c r="R30" s="22"/>
      <c r="S30" s="28">
        <v>14</v>
      </c>
      <c r="T30" s="23">
        <v>0.38958333333333334</v>
      </c>
      <c r="U30" s="23">
        <f t="shared" si="24"/>
        <v>5.5555555555555358E-3</v>
      </c>
      <c r="V30" s="23">
        <f>VLOOKUP(VeredaTr129[[#This Row],[HORA]],'OFERTA (3)'!B:F,5,TRUE)</f>
        <v>5.5555555555555558E-3</v>
      </c>
      <c r="W30" s="23">
        <f t="shared" si="9"/>
        <v>3.6805555555555557E-2</v>
      </c>
      <c r="X30" s="23">
        <f t="shared" si="25"/>
        <v>0.42638888888888887</v>
      </c>
      <c r="Y30" s="23">
        <f t="shared" si="20"/>
        <v>0</v>
      </c>
      <c r="Z30" s="23"/>
      <c r="AA30" s="23">
        <f t="shared" si="3"/>
        <v>0.38958333333333334</v>
      </c>
      <c r="AB30" s="30">
        <f t="shared" si="12"/>
        <v>3.6805555555555536E-2</v>
      </c>
      <c r="AC30" s="30">
        <f>SUMIF($S$4:S30,S30,$AB$4:AB30)</f>
        <v>7.3611111111111072E-2</v>
      </c>
      <c r="AD30" s="23">
        <f>_xlfn.IFNA(VLOOKUP(VeredaTr129[[#This Row],[BUS]],_xlfn._xlws.SORT(TrCeib118[[BUS]:[T2]],11,-1,FALSE),11,FALSE),0)</f>
        <v>0.25416666666666654</v>
      </c>
      <c r="AE30" s="23">
        <f>+VeredaTr129[[#This Row],[∑VeredaTr]]+VeredaTr129[[#This Row],[T2]]</f>
        <v>0.32777777777777761</v>
      </c>
    </row>
    <row r="31" spans="1:39" x14ac:dyDescent="0.35">
      <c r="B31" s="28">
        <v>11</v>
      </c>
      <c r="C31" s="23">
        <v>0.38958333333333334</v>
      </c>
      <c r="D31" s="23">
        <f t="shared" si="26"/>
        <v>5.5555555555555913E-3</v>
      </c>
      <c r="E31" s="23">
        <f>VLOOKUP(TrCeib118[[#This Row],[HORA]],'OFERTA (3)'!I:M,5,TRUE)</f>
        <v>5.5555555555555558E-3</v>
      </c>
      <c r="F31" s="23">
        <f t="shared" si="0"/>
        <v>4.2361111111111106E-2</v>
      </c>
      <c r="G31" s="23">
        <f t="shared" si="27"/>
        <v>0.43194444444444446</v>
      </c>
      <c r="H31" s="23">
        <f t="shared" si="7"/>
        <v>0</v>
      </c>
      <c r="I31" s="23"/>
      <c r="J31" s="23">
        <f t="shared" si="8"/>
        <v>0.38958333333333334</v>
      </c>
      <c r="K31" s="30">
        <f>(G31-C31)+TrCeib118[[#This Row],[Tt_tex]]</f>
        <v>4.2361111111111127E-2</v>
      </c>
      <c r="L31" s="30">
        <f>SUMIF(B$4:$B31,TrCeib118[[#This Row],[BUS]],$K$4:K31)</f>
        <v>8.4722222222222254E-2</v>
      </c>
      <c r="M31" s="23">
        <f>_xlfn.IFNA(VLOOKUP(TrCeib118[[#This Row],[BUS]],_xlfn._xlws.SORT(VeredaTr129[[BUS]:[T2]],11,-1,FALSE),11,FALSE),0)</f>
        <v>0.22083333333333321</v>
      </c>
      <c r="N31" s="23">
        <f>+TrCeib118[[#This Row],[∑TrCeib]]+TrCeib118[[#This Row],[T2]]</f>
        <v>0.30555555555555547</v>
      </c>
      <c r="O31" s="23"/>
      <c r="P31" s="40"/>
      <c r="Q31"/>
      <c r="R31" s="22"/>
      <c r="S31" s="28">
        <v>15</v>
      </c>
      <c r="T31" s="23">
        <v>0.4</v>
      </c>
      <c r="U31" s="23">
        <f t="shared" ref="U31" si="28">T31-T30</f>
        <v>1.0416666666666685E-2</v>
      </c>
      <c r="V31" s="23">
        <f>VLOOKUP(VeredaTr129[[#This Row],[HORA]],'OFERTA (3)'!B:F,5,TRUE)</f>
        <v>1.0416666666666666E-2</v>
      </c>
      <c r="W31" s="23">
        <f t="shared" si="9"/>
        <v>3.6805555555555557E-2</v>
      </c>
      <c r="X31" s="23">
        <f t="shared" ref="X31" si="29">+T31+W31</f>
        <v>0.43680555555555556</v>
      </c>
      <c r="Y31" s="23">
        <f t="shared" ref="Y31" si="30">+(T30+V31)-T31</f>
        <v>0</v>
      </c>
      <c r="Z31" s="23"/>
      <c r="AA31" s="23">
        <f t="shared" si="3"/>
        <v>0.4</v>
      </c>
      <c r="AB31" s="30">
        <f t="shared" si="12"/>
        <v>3.6805555555555536E-2</v>
      </c>
      <c r="AC31" s="30">
        <f>SUMIF($S$4:S31,S31,$AB$4:AB31)</f>
        <v>7.3611111111111072E-2</v>
      </c>
      <c r="AD31" s="23">
        <f>_xlfn.IFNA(VLOOKUP(VeredaTr129[[#This Row],[BUS]],_xlfn._xlws.SORT(TrCeib118[[BUS]:[T2]],11,-1,FALSE),11,FALSE),0)</f>
        <v>0.1694444444444444</v>
      </c>
      <c r="AE31" s="23">
        <f>+VeredaTr129[[#This Row],[∑VeredaTr]]+VeredaTr129[[#This Row],[T2]]</f>
        <v>0.24305555555555547</v>
      </c>
    </row>
    <row r="32" spans="1:39" x14ac:dyDescent="0.35">
      <c r="A32" t="s">
        <v>70</v>
      </c>
      <c r="B32" s="28">
        <v>3</v>
      </c>
      <c r="C32" s="23">
        <v>0.39444444444444443</v>
      </c>
      <c r="D32" s="23">
        <f t="shared" si="26"/>
        <v>4.8611111111110938E-3</v>
      </c>
      <c r="E32" s="23">
        <f>VLOOKUP(TrCeib118[[#This Row],[HORA]],'OFERTA (3)'!I:M,5,TRUE)</f>
        <v>5.5555555555555558E-3</v>
      </c>
      <c r="F32" s="23">
        <f t="shared" si="0"/>
        <v>4.2361111111111106E-2</v>
      </c>
      <c r="G32" s="23">
        <f t="shared" si="27"/>
        <v>0.43680555555555556</v>
      </c>
      <c r="H32" s="23">
        <f t="shared" si="7"/>
        <v>6.9444444444444198E-4</v>
      </c>
      <c r="I32" s="23"/>
      <c r="J32" s="23">
        <f t="shared" si="8"/>
        <v>0.39513888888888887</v>
      </c>
      <c r="K32" s="30">
        <f>(G32-C32)+TrCeib118[[#This Row],[Tt_tex]]</f>
        <v>4.2361111111111127E-2</v>
      </c>
      <c r="L32" s="30">
        <f>SUMIF(B$4:$B32,TrCeib118[[#This Row],[BUS]],$K$4:K32)</f>
        <v>0.12708333333333335</v>
      </c>
      <c r="M32" s="23">
        <f>_xlfn.IFNA(VLOOKUP(TrCeib118[[#This Row],[BUS]],_xlfn._xlws.SORT(VeredaTr129[[BUS]:[T2]],11,-1,FALSE),11,FALSE),0)</f>
        <v>0.1826388888888888</v>
      </c>
      <c r="N32" s="23">
        <f>+TrCeib118[[#This Row],[∑TrCeib]]+TrCeib118[[#This Row],[T2]]</f>
        <v>0.30972222222222212</v>
      </c>
      <c r="O32" s="23"/>
      <c r="P32" s="40"/>
      <c r="Q32"/>
      <c r="R32" s="22"/>
      <c r="S32" s="28">
        <v>9</v>
      </c>
      <c r="T32" s="23">
        <v>0.41041666666666671</v>
      </c>
      <c r="U32" s="23">
        <f t="shared" ref="U32" si="31">T32-T31</f>
        <v>1.0416666666666685E-2</v>
      </c>
      <c r="V32" s="23">
        <f>VLOOKUP(VeredaTr129[[#This Row],[HORA]],'OFERTA (3)'!B:F,5,TRUE)</f>
        <v>1.0416666666666666E-2</v>
      </c>
      <c r="W32" s="23">
        <f t="shared" si="9"/>
        <v>3.6805555555555557E-2</v>
      </c>
      <c r="X32" s="23">
        <f t="shared" ref="X32" si="32">+T32+W32</f>
        <v>0.44722222222222224</v>
      </c>
      <c r="Y32" s="23">
        <f t="shared" ref="Y32" si="33">+(T31+V32)-T32</f>
        <v>0</v>
      </c>
      <c r="Z32" s="23"/>
      <c r="AA32" s="23">
        <f t="shared" si="3"/>
        <v>0.41041666666666671</v>
      </c>
      <c r="AB32" s="30">
        <f t="shared" si="12"/>
        <v>3.6805555555555536E-2</v>
      </c>
      <c r="AC32" s="30">
        <f>SUMIF($S$4:S32,S32,$AB$4:AB32)</f>
        <v>7.3611111111111072E-2</v>
      </c>
      <c r="AD32" s="23">
        <f>_xlfn.IFNA(VLOOKUP(VeredaTr129[[#This Row],[BUS]],_xlfn._xlws.SORT(TrCeib118[[BUS]:[T2]],11,-1,FALSE),11,FALSE),0)</f>
        <v>0.2541666666666666</v>
      </c>
      <c r="AE32" s="23">
        <f>+VeredaTr129[[#This Row],[∑VeredaTr]]+VeredaTr129[[#This Row],[T2]]</f>
        <v>0.32777777777777767</v>
      </c>
    </row>
    <row r="33" spans="1:31" x14ac:dyDescent="0.35">
      <c r="B33" s="28">
        <v>12</v>
      </c>
      <c r="C33" s="23">
        <v>0.4</v>
      </c>
      <c r="D33" s="23">
        <f t="shared" si="26"/>
        <v>5.5555555555555913E-3</v>
      </c>
      <c r="E33" s="23">
        <f>VLOOKUP(TrCeib118[[#This Row],[HORA]],'OFERTA (3)'!I:M,5,TRUE)</f>
        <v>1.0416666666666666E-2</v>
      </c>
      <c r="F33" s="23">
        <f t="shared" si="0"/>
        <v>4.2361111111111106E-2</v>
      </c>
      <c r="G33" s="23">
        <f t="shared" si="27"/>
        <v>0.44236111111111115</v>
      </c>
      <c r="H33" s="23">
        <f t="shared" si="7"/>
        <v>4.8611111111110938E-3</v>
      </c>
      <c r="I33" s="23"/>
      <c r="J33" s="23">
        <f t="shared" si="8"/>
        <v>0.40486111111111112</v>
      </c>
      <c r="K33" s="30">
        <f>(G33-C33)+TrCeib118[[#This Row],[Tt_tex]]</f>
        <v>4.2361111111111127E-2</v>
      </c>
      <c r="L33" s="30">
        <f>SUMIF(B$4:$B33,TrCeib118[[#This Row],[BUS]],$K$4:K33)</f>
        <v>8.4722222222222254E-2</v>
      </c>
      <c r="M33" s="23">
        <f>_xlfn.IFNA(VLOOKUP(TrCeib118[[#This Row],[BUS]],_xlfn._xlws.SORT(VeredaTr129[[BUS]:[T2]],11,-1,FALSE),11,FALSE),0)</f>
        <v>0.22083333333333321</v>
      </c>
      <c r="N33" s="23">
        <f>+TrCeib118[[#This Row],[∑TrCeib]]+TrCeib118[[#This Row],[T2]]</f>
        <v>0.30555555555555547</v>
      </c>
      <c r="O33" s="23"/>
      <c r="P33" s="40"/>
      <c r="Q33"/>
      <c r="R33" s="22"/>
      <c r="S33" s="28">
        <v>10</v>
      </c>
      <c r="T33" s="23">
        <v>0.42152777777777778</v>
      </c>
      <c r="U33" s="23">
        <f t="shared" ref="U33" si="34">T33-T32</f>
        <v>1.1111111111111072E-2</v>
      </c>
      <c r="V33" s="23">
        <f>VLOOKUP(VeredaTr129[[#This Row],[HORA]],'OFERTA (3)'!B:F,5,TRUE)</f>
        <v>1.0416666666666666E-2</v>
      </c>
      <c r="W33" s="23">
        <f t="shared" si="9"/>
        <v>3.6805555555555557E-2</v>
      </c>
      <c r="X33" s="23">
        <f t="shared" ref="X33" si="35">+T33+W33</f>
        <v>0.45833333333333331</v>
      </c>
      <c r="Y33" s="23">
        <f t="shared" ref="Y33" si="36">+(T32+V33)-T33</f>
        <v>-6.9444444444438647E-4</v>
      </c>
      <c r="Z33" s="23"/>
      <c r="AA33" s="23">
        <f t="shared" si="3"/>
        <v>0.42083333333333339</v>
      </c>
      <c r="AB33" s="30">
        <f t="shared" si="12"/>
        <v>3.6805555555555536E-2</v>
      </c>
      <c r="AC33" s="30">
        <f>SUMIF($S$4:S33,S33,$AB$4:AB33)</f>
        <v>7.3611111111111072E-2</v>
      </c>
      <c r="AD33" s="23">
        <f>_xlfn.IFNA(VLOOKUP(VeredaTr129[[#This Row],[BUS]],_xlfn._xlws.SORT(TrCeib118[[BUS]:[T2]],11,-1,FALSE),11,FALSE),0)</f>
        <v>0.2541666666666666</v>
      </c>
      <c r="AE33" s="23">
        <f>+VeredaTr129[[#This Row],[∑VeredaTr]]+VeredaTr129[[#This Row],[T2]]</f>
        <v>0.32777777777777767</v>
      </c>
    </row>
    <row r="34" spans="1:31" x14ac:dyDescent="0.35">
      <c r="A34" t="s">
        <v>70</v>
      </c>
      <c r="B34" s="28">
        <v>4</v>
      </c>
      <c r="C34" s="23">
        <v>0.40486111111111112</v>
      </c>
      <c r="D34" s="23">
        <f t="shared" si="26"/>
        <v>4.8611111111110938E-3</v>
      </c>
      <c r="E34" s="23">
        <f>VLOOKUP(TrCeib118[[#This Row],[HORA]],'OFERTA (3)'!I:M,5,TRUE)</f>
        <v>1.0416666666666666E-2</v>
      </c>
      <c r="F34" s="23">
        <f t="shared" si="0"/>
        <v>4.2361111111111106E-2</v>
      </c>
      <c r="G34" s="23">
        <f t="shared" si="27"/>
        <v>0.44722222222222224</v>
      </c>
      <c r="H34" s="23">
        <f t="shared" si="7"/>
        <v>5.5555555555555913E-3</v>
      </c>
      <c r="I34" s="23"/>
      <c r="J34" s="23">
        <f t="shared" si="8"/>
        <v>0.41041666666666671</v>
      </c>
      <c r="K34" s="30">
        <f>(G34-C34)+TrCeib118[[#This Row],[Tt_tex]]</f>
        <v>4.2361111111111127E-2</v>
      </c>
      <c r="L34" s="30">
        <f>SUMIF(B$4:$B34,TrCeib118[[#This Row],[BUS]],$K$4:K34)</f>
        <v>0.12708333333333338</v>
      </c>
      <c r="M34" s="23">
        <f>_xlfn.IFNA(VLOOKUP(TrCeib118[[#This Row],[BUS]],_xlfn._xlws.SORT(VeredaTr129[[BUS]:[T2]],11,-1,FALSE),11,FALSE),0)</f>
        <v>0.14444444444444438</v>
      </c>
      <c r="N34" s="23">
        <f>+TrCeib118[[#This Row],[∑TrCeib]]+TrCeib118[[#This Row],[T2]]</f>
        <v>0.27152777777777776</v>
      </c>
      <c r="O34" s="23"/>
      <c r="P34" s="40"/>
      <c r="Q34"/>
      <c r="S34" s="28">
        <v>11</v>
      </c>
      <c r="T34" s="23">
        <v>0.43194444444444446</v>
      </c>
      <c r="U34" s="23">
        <f t="shared" ref="U34" si="37">T34-T33</f>
        <v>1.0416666666666685E-2</v>
      </c>
      <c r="V34" s="23">
        <f>VLOOKUP(VeredaTr129[[#This Row],[HORA]],'OFERTA (3)'!B:F,5,TRUE)</f>
        <v>1.0416666666666666E-2</v>
      </c>
      <c r="W34" s="23">
        <f t="shared" si="9"/>
        <v>3.6805555555555557E-2</v>
      </c>
      <c r="X34" s="23">
        <f t="shared" ref="X34" si="38">+T34+W34</f>
        <v>0.46875</v>
      </c>
      <c r="Y34" s="23">
        <f t="shared" ref="Y34" si="39">+(T33+V34)-T34</f>
        <v>0</v>
      </c>
      <c r="Z34" s="23"/>
      <c r="AA34" s="23">
        <f t="shared" si="3"/>
        <v>0.43194444444444446</v>
      </c>
      <c r="AB34" s="30">
        <f t="shared" si="12"/>
        <v>3.6805555555555536E-2</v>
      </c>
      <c r="AC34" s="30">
        <f>SUMIF($S$4:S34,S34,$AB$4:AB34)</f>
        <v>7.3611111111111072E-2</v>
      </c>
      <c r="AD34" s="23">
        <f>_xlfn.IFNA(VLOOKUP(VeredaTr129[[#This Row],[BUS]],_xlfn._xlws.SORT(TrCeib118[[BUS]:[T2]],11,-1,FALSE),11,FALSE),0)</f>
        <v>0.25416666666666654</v>
      </c>
      <c r="AE34" s="23">
        <f>+VeredaTr129[[#This Row],[∑VeredaTr]]+VeredaTr129[[#This Row],[T2]]</f>
        <v>0.32777777777777761</v>
      </c>
    </row>
    <row r="35" spans="1:31" x14ac:dyDescent="0.35">
      <c r="B35" s="28">
        <v>13</v>
      </c>
      <c r="C35" s="23">
        <v>0.41597222222222219</v>
      </c>
      <c r="D35" s="23">
        <f t="shared" ref="D35" si="40">C35-C34</f>
        <v>1.1111111111111072E-2</v>
      </c>
      <c r="E35" s="23">
        <f>VLOOKUP(TrCeib118[[#This Row],[HORA]],'OFERTA (3)'!I:M,5,TRUE)</f>
        <v>1.0416666666666666E-2</v>
      </c>
      <c r="F35" s="23">
        <f t="shared" si="0"/>
        <v>4.2361111111111106E-2</v>
      </c>
      <c r="G35" s="23">
        <f t="shared" ref="G35" si="41">C35+F35</f>
        <v>0.45833333333333331</v>
      </c>
      <c r="H35" s="23">
        <f t="shared" ref="H35" si="42">+(C34+E35)-C35</f>
        <v>-6.9444444444438647E-4</v>
      </c>
      <c r="I35" s="23"/>
      <c r="J35" s="23">
        <f t="shared" si="8"/>
        <v>0.4152777777777778</v>
      </c>
      <c r="K35" s="30">
        <f>(G35-C35)+TrCeib118[[#This Row],[Tt_tex]]</f>
        <v>4.2361111111111127E-2</v>
      </c>
      <c r="L35" s="30">
        <f>SUMIF(B$4:$B35,TrCeib118[[#This Row],[BUS]],$K$4:K35)</f>
        <v>8.4722222222222254E-2</v>
      </c>
      <c r="M35" s="23">
        <f>_xlfn.IFNA(VLOOKUP(TrCeib118[[#This Row],[BUS]],_xlfn._xlws.SORT(VeredaTr129[[BUS]:[T2]],11,-1,FALSE),11,FALSE),0)</f>
        <v>0.22083333333333321</v>
      </c>
      <c r="N35" s="23">
        <f>+TrCeib118[[#This Row],[∑TrCeib]]+TrCeib118[[#This Row],[T2]]</f>
        <v>0.30555555555555547</v>
      </c>
      <c r="O35" s="23"/>
      <c r="P35" s="40"/>
      <c r="Q35"/>
      <c r="S35" s="28">
        <v>12</v>
      </c>
      <c r="T35" s="23">
        <v>0.44236111111111115</v>
      </c>
      <c r="U35" s="23">
        <f t="shared" ref="U35" si="43">T35-T34</f>
        <v>1.0416666666666685E-2</v>
      </c>
      <c r="V35" s="23">
        <f>VLOOKUP(VeredaTr129[[#This Row],[HORA]],'OFERTA (3)'!B:F,5,TRUE)</f>
        <v>1.0416666666666666E-2</v>
      </c>
      <c r="W35" s="23">
        <f t="shared" si="9"/>
        <v>3.6805555555555557E-2</v>
      </c>
      <c r="X35" s="23">
        <f t="shared" ref="X35:X37" si="44">+T35+W35</f>
        <v>0.47916666666666669</v>
      </c>
      <c r="Y35" s="23">
        <f t="shared" ref="Y35" si="45">+(T34+V35)-T35</f>
        <v>0</v>
      </c>
      <c r="Z35" s="23"/>
      <c r="AA35" s="23">
        <f t="shared" ref="AA35:AA39" si="46">+T35+Y35</f>
        <v>0.44236111111111115</v>
      </c>
      <c r="AB35" s="30">
        <f t="shared" si="12"/>
        <v>3.6805555555555536E-2</v>
      </c>
      <c r="AC35" s="30">
        <f>SUMIF($S$4:S35,S35,$AB$4:AB35)</f>
        <v>7.3611111111111072E-2</v>
      </c>
      <c r="AD35" s="23">
        <f>_xlfn.IFNA(VLOOKUP(VeredaTr129[[#This Row],[BUS]],_xlfn._xlws.SORT(TrCeib118[[BUS]:[T2]],11,-1,FALSE),11,FALSE),0)</f>
        <v>0.2541666666666666</v>
      </c>
      <c r="AE35" s="23">
        <f>+VeredaTr129[[#This Row],[∑VeredaTr]]+VeredaTr129[[#This Row],[T2]]</f>
        <v>0.32777777777777767</v>
      </c>
    </row>
    <row r="36" spans="1:31" x14ac:dyDescent="0.35">
      <c r="B36" s="28">
        <v>14</v>
      </c>
      <c r="C36" s="23">
        <v>0.42638888888888887</v>
      </c>
      <c r="D36" s="23">
        <f t="shared" ref="D36:D40" si="47">C36-C35</f>
        <v>1.0416666666666685E-2</v>
      </c>
      <c r="E36" s="23">
        <f>VLOOKUP(TrCeib118[[#This Row],[HORA]],'OFERTA (3)'!I:M,5,TRUE)</f>
        <v>1.0416666666666666E-2</v>
      </c>
      <c r="F36" s="23">
        <f t="shared" si="0"/>
        <v>4.2361111111111106E-2</v>
      </c>
      <c r="G36" s="23">
        <f t="shared" ref="G36:G40" si="48">C36+F36</f>
        <v>0.46875</v>
      </c>
      <c r="H36" s="23">
        <f t="shared" ref="H36:H44" si="49">+(C35+E36)-C36</f>
        <v>0</v>
      </c>
      <c r="I36" s="23"/>
      <c r="J36" s="23">
        <f t="shared" si="8"/>
        <v>0.42638888888888887</v>
      </c>
      <c r="K36" s="30">
        <f>(G36-C36)+TrCeib118[[#This Row],[Tt_tex]]</f>
        <v>4.2361111111111127E-2</v>
      </c>
      <c r="L36" s="30">
        <f>SUMIF(B$4:$B36,TrCeib118[[#This Row],[BUS]],$K$4:K36)</f>
        <v>8.4722222222222254E-2</v>
      </c>
      <c r="M36" s="23">
        <f>_xlfn.IFNA(VLOOKUP(TrCeib118[[#This Row],[BUS]],_xlfn._xlws.SORT(VeredaTr129[[BUS]:[T2]],11,-1,FALSE),11,FALSE),0)</f>
        <v>0.22083333333333327</v>
      </c>
      <c r="N36" s="23">
        <f>+TrCeib118[[#This Row],[∑TrCeib]]+TrCeib118[[#This Row],[T2]]</f>
        <v>0.30555555555555552</v>
      </c>
      <c r="O36" s="23"/>
      <c r="P36" s="40"/>
      <c r="Q36"/>
      <c r="R36" t="s">
        <v>63</v>
      </c>
      <c r="S36" s="28">
        <v>16</v>
      </c>
      <c r="T36" s="23">
        <v>0.45277777777777778</v>
      </c>
      <c r="U36" s="23">
        <f t="shared" ref="U36:U38" si="50">T36-T35</f>
        <v>1.041666666666663E-2</v>
      </c>
      <c r="V36" s="23">
        <f>VLOOKUP(VeredaTr129[[#This Row],[HORA]],'OFERTA (3)'!B:F,5,TRUE)</f>
        <v>1.0416666666666666E-2</v>
      </c>
      <c r="W36" s="23">
        <f t="shared" si="9"/>
        <v>3.6805555555555557E-2</v>
      </c>
      <c r="X36" s="23">
        <f>+T36+W36</f>
        <v>0.48958333333333331</v>
      </c>
      <c r="Y36" s="23">
        <f>+(T35+V36)-T36</f>
        <v>0</v>
      </c>
      <c r="Z36" s="23"/>
      <c r="AA36" s="23">
        <f>+T36+Y36</f>
        <v>0.45277777777777778</v>
      </c>
      <c r="AB36" s="30">
        <f>(X36-T36)</f>
        <v>3.6805555555555536E-2</v>
      </c>
      <c r="AC36" s="30">
        <f>SUMIF($S$4:S36,S36,$AB$4:AB36)</f>
        <v>3.6805555555555536E-2</v>
      </c>
      <c r="AD36" s="23">
        <f>_xlfn.IFNA(VLOOKUP(VeredaTr129[[#This Row],[BUS]],_xlfn._xlws.SORT(TrCeib118[[BUS]:[T2]],11,-1,FALSE),11,FALSE),0)</f>
        <v>0.16944444444444434</v>
      </c>
      <c r="AE36" s="23">
        <f>+VeredaTr129[[#This Row],[∑VeredaTr]]+VeredaTr129[[#This Row],[T2]]</f>
        <v>0.20624999999999988</v>
      </c>
    </row>
    <row r="37" spans="1:31" x14ac:dyDescent="0.35">
      <c r="B37" s="28">
        <v>15</v>
      </c>
      <c r="C37" s="23">
        <v>0.43680555555555556</v>
      </c>
      <c r="D37" s="23">
        <f t="shared" si="47"/>
        <v>1.0416666666666685E-2</v>
      </c>
      <c r="E37" s="23">
        <f>VLOOKUP(TrCeib118[[#This Row],[HORA]],'OFERTA (3)'!I:M,5,TRUE)</f>
        <v>1.0416666666666666E-2</v>
      </c>
      <c r="F37" s="23">
        <f t="shared" si="0"/>
        <v>4.2361111111111106E-2</v>
      </c>
      <c r="G37" s="23">
        <f t="shared" si="48"/>
        <v>0.47916666666666669</v>
      </c>
      <c r="H37" s="23">
        <f t="shared" si="49"/>
        <v>0</v>
      </c>
      <c r="I37" s="23"/>
      <c r="J37" s="23">
        <f t="shared" si="8"/>
        <v>0.43680555555555556</v>
      </c>
      <c r="K37" s="30">
        <f>(G37-C37)+TrCeib118[[#This Row],[Tt_tex]]</f>
        <v>4.2361111111111127E-2</v>
      </c>
      <c r="L37" s="30">
        <f>SUMIF(B$4:$B37,TrCeib118[[#This Row],[BUS]],$K$4:K37)</f>
        <v>8.4722222222222254E-2</v>
      </c>
      <c r="M37" s="23">
        <f>_xlfn.IFNA(VLOOKUP(TrCeib118[[#This Row],[BUS]],_xlfn._xlws.SORT(VeredaTr129[[BUS]:[T2]],11,-1,FALSE),11,FALSE),0)</f>
        <v>0.1472222222222222</v>
      </c>
      <c r="N37" s="23">
        <f>+TrCeib118[[#This Row],[∑TrCeib]]+TrCeib118[[#This Row],[T2]]</f>
        <v>0.23194444444444445</v>
      </c>
      <c r="O37" s="23"/>
      <c r="P37" s="40"/>
      <c r="Q37"/>
      <c r="S37" s="28">
        <v>13</v>
      </c>
      <c r="T37" s="23">
        <v>0.46319444444444446</v>
      </c>
      <c r="U37" s="23">
        <f t="shared" si="50"/>
        <v>1.0416666666666685E-2</v>
      </c>
      <c r="V37" s="23">
        <f>VLOOKUP(VeredaTr129[[#This Row],[HORA]],'OFERTA (3)'!B:F,5,TRUE)</f>
        <v>1.0416666666666666E-2</v>
      </c>
      <c r="W37" s="23">
        <f t="shared" si="9"/>
        <v>3.6805555555555557E-2</v>
      </c>
      <c r="X37" s="23">
        <f t="shared" si="44"/>
        <v>0.5</v>
      </c>
      <c r="Y37" s="23">
        <f t="shared" ref="Y37:Y39" si="51">+(T36+V37)-T37</f>
        <v>0</v>
      </c>
      <c r="Z37" s="23">
        <v>4.8611111111111494E-3</v>
      </c>
      <c r="AA37" s="23">
        <f t="shared" si="46"/>
        <v>0.46319444444444446</v>
      </c>
      <c r="AB37" s="30">
        <f t="shared" si="12"/>
        <v>3.6805555555555536E-2</v>
      </c>
      <c r="AC37" s="30">
        <f>SUMIF($S$4:S37,S37,$AB$4:AB37)</f>
        <v>0.11041666666666661</v>
      </c>
      <c r="AD37" s="23">
        <f>_xlfn.IFNA(VLOOKUP(VeredaTr129[[#This Row],[BUS]],_xlfn._xlws.SORT(TrCeib118[[BUS]:[T2]],11,-1,FALSE),11,FALSE),0)</f>
        <v>0.25416666666666654</v>
      </c>
      <c r="AE37" s="23">
        <f>+VeredaTr129[[#This Row],[∑VeredaTr]]+VeredaTr129[[#This Row],[T2]]</f>
        <v>0.36458333333333315</v>
      </c>
    </row>
    <row r="38" spans="1:31" x14ac:dyDescent="0.35">
      <c r="B38" s="28">
        <v>9</v>
      </c>
      <c r="C38" s="23">
        <v>0.44722222222222224</v>
      </c>
      <c r="D38" s="23">
        <f t="shared" si="47"/>
        <v>1.0416666666666685E-2</v>
      </c>
      <c r="E38" s="23">
        <f>VLOOKUP(TrCeib118[[#This Row],[HORA]],'OFERTA (3)'!I:M,5,TRUE)</f>
        <v>1.0416666666666666E-2</v>
      </c>
      <c r="F38" s="23">
        <f t="shared" si="0"/>
        <v>4.2361111111111106E-2</v>
      </c>
      <c r="G38" s="23">
        <f t="shared" si="48"/>
        <v>0.48958333333333337</v>
      </c>
      <c r="H38" s="23">
        <f t="shared" si="49"/>
        <v>0</v>
      </c>
      <c r="I38" s="23"/>
      <c r="J38" s="23">
        <f t="shared" si="8"/>
        <v>0.44722222222222224</v>
      </c>
      <c r="K38" s="30">
        <f>(G38-C38)+TrCeib118[[#This Row],[Tt_tex]]</f>
        <v>4.2361111111111127E-2</v>
      </c>
      <c r="L38" s="30">
        <f>SUMIF(B$4:$B38,TrCeib118[[#This Row],[BUS]],$K$4:K38)</f>
        <v>0.12708333333333338</v>
      </c>
      <c r="M38" s="23">
        <f>_xlfn.IFNA(VLOOKUP(TrCeib118[[#This Row],[BUS]],_xlfn._xlws.SORT(VeredaTr129[[BUS]:[T2]],11,-1,FALSE),11,FALSE),0)</f>
        <v>0.18402777777777768</v>
      </c>
      <c r="N38" s="23">
        <f>+TrCeib118[[#This Row],[∑TrCeib]]+TrCeib118[[#This Row],[T2]]</f>
        <v>0.31111111111111106</v>
      </c>
      <c r="O38" s="23"/>
      <c r="P38" s="40"/>
      <c r="Q38"/>
      <c r="S38" s="28">
        <v>14</v>
      </c>
      <c r="T38" s="23">
        <v>0.47361111111111115</v>
      </c>
      <c r="U38" s="23">
        <f t="shared" si="50"/>
        <v>1.0416666666666685E-2</v>
      </c>
      <c r="V38" s="23">
        <f>VLOOKUP(VeredaTr129[[#This Row],[HORA]],'OFERTA (3)'!B:F,5,TRUE)</f>
        <v>1.0416666666666666E-2</v>
      </c>
      <c r="W38" s="23">
        <f t="shared" si="9"/>
        <v>3.6805555555555557E-2</v>
      </c>
      <c r="X38" s="23">
        <f t="shared" ref="X38:X39" si="52">+T38+W38</f>
        <v>0.51041666666666674</v>
      </c>
      <c r="Y38" s="23">
        <f t="shared" si="51"/>
        <v>0</v>
      </c>
      <c r="Z38" s="23">
        <v>4.8611111111111494E-3</v>
      </c>
      <c r="AA38" s="23">
        <f t="shared" si="46"/>
        <v>0.47361111111111115</v>
      </c>
      <c r="AB38" s="30">
        <f t="shared" si="12"/>
        <v>3.6805555555555591E-2</v>
      </c>
      <c r="AC38" s="30">
        <f>SUMIF($S$4:S38,S38,$AB$4:AB38)</f>
        <v>0.11041666666666666</v>
      </c>
      <c r="AD38" s="23">
        <f>_xlfn.IFNA(VLOOKUP(VeredaTr129[[#This Row],[BUS]],_xlfn._xlws.SORT(TrCeib118[[BUS]:[T2]],11,-1,FALSE),11,FALSE),0)</f>
        <v>0.25416666666666654</v>
      </c>
      <c r="AE38" s="23">
        <f>+VeredaTr129[[#This Row],[∑VeredaTr]]+VeredaTr129[[#This Row],[T2]]</f>
        <v>0.3645833333333332</v>
      </c>
    </row>
    <row r="39" spans="1:31" x14ac:dyDescent="0.35">
      <c r="B39" s="28">
        <v>10</v>
      </c>
      <c r="C39" s="23">
        <v>0.45833333333333331</v>
      </c>
      <c r="D39" s="23">
        <f t="shared" si="47"/>
        <v>1.1111111111111072E-2</v>
      </c>
      <c r="E39" s="23">
        <f>VLOOKUP(TrCeib118[[#This Row],[HORA]],'OFERTA (3)'!I:M,5,TRUE)</f>
        <v>1.0416666666666666E-2</v>
      </c>
      <c r="F39" s="23">
        <f t="shared" si="0"/>
        <v>4.2361111111111106E-2</v>
      </c>
      <c r="G39" s="23">
        <f t="shared" si="48"/>
        <v>0.50069444444444444</v>
      </c>
      <c r="H39" s="23">
        <f t="shared" si="49"/>
        <v>-6.9444444444438647E-4</v>
      </c>
      <c r="I39" s="23"/>
      <c r="J39" s="23">
        <f t="shared" si="8"/>
        <v>0.45763888888888893</v>
      </c>
      <c r="K39" s="30">
        <f>(G39-C39)+TrCeib118[[#This Row],[Tt_tex]]</f>
        <v>4.2361111111111127E-2</v>
      </c>
      <c r="L39" s="30">
        <f>SUMIF(B$4:$B39,TrCeib118[[#This Row],[BUS]],$K$4:K39)</f>
        <v>0.12708333333333338</v>
      </c>
      <c r="M39" s="23">
        <f>_xlfn.IFNA(VLOOKUP(TrCeib118[[#This Row],[BUS]],_xlfn._xlws.SORT(VeredaTr129[[BUS]:[T2]],11,-1,FALSE),11,FALSE),0)</f>
        <v>0.18402777777777768</v>
      </c>
      <c r="N39" s="23">
        <f>+TrCeib118[[#This Row],[∑TrCeib]]+TrCeib118[[#This Row],[T2]]</f>
        <v>0.31111111111111106</v>
      </c>
      <c r="O39" s="23"/>
      <c r="P39" s="40"/>
      <c r="Q39"/>
      <c r="S39" s="28">
        <v>15</v>
      </c>
      <c r="T39" s="23">
        <v>0.48055555555555557</v>
      </c>
      <c r="U39" s="23">
        <f t="shared" ref="U39" si="53">T39-T38</f>
        <v>6.9444444444444198E-3</v>
      </c>
      <c r="V39" s="23">
        <f>VLOOKUP(VeredaTr129[[#This Row],[HORA]],'OFERTA (3)'!B:F,5,TRUE)</f>
        <v>6.9444444444444441E-3</v>
      </c>
      <c r="W39" s="23">
        <f t="shared" si="9"/>
        <v>3.6805555555555557E-2</v>
      </c>
      <c r="X39" s="23">
        <f t="shared" si="52"/>
        <v>0.51736111111111116</v>
      </c>
      <c r="Y39" s="23">
        <f t="shared" si="51"/>
        <v>0</v>
      </c>
      <c r="Z39" s="23">
        <v>1.388888888888884E-3</v>
      </c>
      <c r="AA39" s="23">
        <f t="shared" si="46"/>
        <v>0.48055555555555557</v>
      </c>
      <c r="AB39" s="30">
        <f t="shared" si="12"/>
        <v>3.6805555555555591E-2</v>
      </c>
      <c r="AC39" s="30">
        <f>SUMIF($S$4:S39,S39,$AB$4:AB39)</f>
        <v>0.11041666666666666</v>
      </c>
      <c r="AD39" s="23">
        <f>_xlfn.IFNA(VLOOKUP(VeredaTr129[[#This Row],[BUS]],_xlfn._xlws.SORT(TrCeib118[[BUS]:[T2]],11,-1,FALSE),11,FALSE),0)</f>
        <v>0.1694444444444444</v>
      </c>
      <c r="AE39" s="23">
        <f>+VeredaTr129[[#This Row],[∑VeredaTr]]+VeredaTr129[[#This Row],[T2]]</f>
        <v>0.27986111111111106</v>
      </c>
    </row>
    <row r="40" spans="1:31" x14ac:dyDescent="0.35">
      <c r="B40" s="28">
        <v>11</v>
      </c>
      <c r="C40" s="23">
        <v>0.46875</v>
      </c>
      <c r="D40" s="23">
        <f t="shared" si="47"/>
        <v>1.0416666666666685E-2</v>
      </c>
      <c r="E40" s="23">
        <f>VLOOKUP(TrCeib118[[#This Row],[HORA]],'OFERTA (3)'!I:M,5,TRUE)</f>
        <v>1.0416666666666666E-2</v>
      </c>
      <c r="F40" s="23">
        <f t="shared" si="0"/>
        <v>4.2361111111111106E-2</v>
      </c>
      <c r="G40" s="23">
        <f t="shared" si="48"/>
        <v>0.51111111111111107</v>
      </c>
      <c r="H40" s="23">
        <f t="shared" si="49"/>
        <v>0</v>
      </c>
      <c r="I40" s="23"/>
      <c r="J40" s="23">
        <f t="shared" si="8"/>
        <v>0.46875</v>
      </c>
      <c r="K40" s="30">
        <f>(G40-C40)+TrCeib118[[#This Row],[Tt_tex]]</f>
        <v>4.2361111111111072E-2</v>
      </c>
      <c r="L40" s="30">
        <f>SUMIF(B$4:$B40,TrCeib118[[#This Row],[BUS]],$K$4:K40)</f>
        <v>0.12708333333333333</v>
      </c>
      <c r="M40" s="23">
        <f>_xlfn.IFNA(VLOOKUP(TrCeib118[[#This Row],[BUS]],_xlfn._xlws.SORT(VeredaTr129[[BUS]:[T2]],11,-1,FALSE),11,FALSE),0)</f>
        <v>0.22083333333333321</v>
      </c>
      <c r="N40" s="23">
        <f>+TrCeib118[[#This Row],[∑TrCeib]]+TrCeib118[[#This Row],[T2]]</f>
        <v>0.34791666666666654</v>
      </c>
      <c r="O40" s="23"/>
      <c r="P40" s="40"/>
      <c r="Q40"/>
      <c r="R40" t="s">
        <v>63</v>
      </c>
      <c r="S40" s="28">
        <v>17</v>
      </c>
      <c r="T40" s="23">
        <v>0.48749999999999999</v>
      </c>
      <c r="U40" s="23">
        <f t="shared" ref="U40" si="54">T40-T39</f>
        <v>6.9444444444444198E-3</v>
      </c>
      <c r="V40" s="23">
        <f>VLOOKUP(VeredaTr129[[#This Row],[HORA]],'OFERTA (3)'!B:F,5,TRUE)</f>
        <v>6.9444444444444441E-3</v>
      </c>
      <c r="W40" s="23">
        <f t="shared" si="9"/>
        <v>3.6805555555555557E-2</v>
      </c>
      <c r="X40" s="23">
        <f t="shared" ref="X40" si="55">+T40+W40</f>
        <v>0.52430555555555558</v>
      </c>
      <c r="Y40" s="23">
        <f t="shared" ref="Y40" si="56">+(T39+V40)-T40</f>
        <v>0</v>
      </c>
      <c r="Z40" s="23"/>
      <c r="AA40" s="23">
        <f>+T40+Y40</f>
        <v>0.48749999999999999</v>
      </c>
      <c r="AB40" s="30">
        <f>(X40-T40)</f>
        <v>3.6805555555555591E-2</v>
      </c>
      <c r="AC40" s="30">
        <f>SUMIF($S$4:S40,S40,$AB$4:AB40)</f>
        <v>3.6805555555555591E-2</v>
      </c>
      <c r="AD40" s="23">
        <f>_xlfn.IFNA(VLOOKUP(VeredaTr129[[#This Row],[BUS]],_xlfn._xlws.SORT(TrCeib118[[BUS]:[T2]],11,-1,FALSE),11,FALSE),0)</f>
        <v>0.16944444444444429</v>
      </c>
      <c r="AE40" s="23">
        <f>+VeredaTr129[[#This Row],[∑VeredaTr]]+VeredaTr129[[#This Row],[T2]]</f>
        <v>0.20624999999999988</v>
      </c>
    </row>
    <row r="41" spans="1:31" x14ac:dyDescent="0.35">
      <c r="B41" s="28">
        <v>12</v>
      </c>
      <c r="C41" s="23">
        <v>0.47916666666666669</v>
      </c>
      <c r="D41" s="23">
        <f t="shared" ref="D41:D45" si="57">C41-C40</f>
        <v>1.0416666666666685E-2</v>
      </c>
      <c r="E41" s="23">
        <f>VLOOKUP(TrCeib118[[#This Row],[HORA]],'OFERTA (3)'!I:M,5,TRUE)</f>
        <v>6.9444444444444441E-3</v>
      </c>
      <c r="F41" s="23">
        <f t="shared" si="0"/>
        <v>4.2361111111111106E-2</v>
      </c>
      <c r="G41" s="23">
        <f t="shared" ref="G41:G45" si="58">C41+F41</f>
        <v>0.52152777777777781</v>
      </c>
      <c r="H41" s="23">
        <f t="shared" si="49"/>
        <v>-3.4722222222222654E-3</v>
      </c>
      <c r="I41" s="23"/>
      <c r="J41" s="23">
        <f t="shared" si="8"/>
        <v>0.47569444444444442</v>
      </c>
      <c r="K41" s="30">
        <f>(G41-C41)+TrCeib118[[#This Row],[Tt_tex]]</f>
        <v>4.2361111111111127E-2</v>
      </c>
      <c r="L41" s="30">
        <f>SUMIF(B$4:$B41,TrCeib118[[#This Row],[BUS]],$K$4:K41)</f>
        <v>0.12708333333333338</v>
      </c>
      <c r="M41" s="23">
        <f>_xlfn.IFNA(VLOOKUP(TrCeib118[[#This Row],[BUS]],_xlfn._xlws.SORT(VeredaTr129[[BUS]:[T2]],11,-1,FALSE),11,FALSE),0)</f>
        <v>0.22083333333333321</v>
      </c>
      <c r="N41" s="23">
        <f>+TrCeib118[[#This Row],[∑TrCeib]]+TrCeib118[[#This Row],[T2]]</f>
        <v>0.3479166666666666</v>
      </c>
      <c r="O41" s="23"/>
      <c r="P41" s="40"/>
      <c r="Q41"/>
      <c r="R41" t="s">
        <v>63</v>
      </c>
      <c r="S41" s="28">
        <v>18</v>
      </c>
      <c r="T41" s="23">
        <v>0.49444444444444446</v>
      </c>
      <c r="U41" s="23">
        <f t="shared" ref="U41" si="59">T41-T40</f>
        <v>6.9444444444444753E-3</v>
      </c>
      <c r="V41" s="23">
        <f>VLOOKUP(VeredaTr129[[#This Row],[HORA]],'OFERTA (3)'!B:F,5,TRUE)</f>
        <v>6.9444444444444441E-3</v>
      </c>
      <c r="W41" s="23">
        <f t="shared" si="9"/>
        <v>3.6805555555555557E-2</v>
      </c>
      <c r="X41" s="23">
        <f t="shared" ref="X41" si="60">+T41+W41</f>
        <v>0.53125</v>
      </c>
      <c r="Y41" s="23">
        <f t="shared" ref="Y41" si="61">+(T40+V41)-T41</f>
        <v>0</v>
      </c>
      <c r="Z41" s="23"/>
      <c r="AA41" s="23">
        <f>+T41+Y41</f>
        <v>0.49444444444444446</v>
      </c>
      <c r="AB41" s="30">
        <f>(X41-T41)</f>
        <v>3.6805555555555536E-2</v>
      </c>
      <c r="AC41" s="30">
        <f>SUMIF($S$4:S41,S41,$AB$4:AB41)</f>
        <v>3.6805555555555536E-2</v>
      </c>
      <c r="AD41" s="23">
        <f>_xlfn.IFNA(VLOOKUP(VeredaTr129[[#This Row],[BUS]],_xlfn._xlws.SORT(TrCeib118[[BUS]:[T2]],11,-1,FALSE),11,FALSE),0)</f>
        <v>0.16944444444444429</v>
      </c>
      <c r="AE41" s="23">
        <f>+VeredaTr129[[#This Row],[∑VeredaTr]]+VeredaTr129[[#This Row],[T2]]</f>
        <v>0.20624999999999982</v>
      </c>
    </row>
    <row r="42" spans="1:31" x14ac:dyDescent="0.35">
      <c r="B42" s="28">
        <v>16</v>
      </c>
      <c r="C42" s="23">
        <v>0.48958333333333331</v>
      </c>
      <c r="D42" s="23">
        <f t="shared" si="57"/>
        <v>1.041666666666663E-2</v>
      </c>
      <c r="E42" s="23">
        <f>VLOOKUP(TrCeib118[[#This Row],[HORA]],'OFERTA (3)'!I:M,5,TRUE)</f>
        <v>6.9444444444444441E-3</v>
      </c>
      <c r="F42" s="23">
        <f t="shared" si="0"/>
        <v>4.2361111111111106E-2</v>
      </c>
      <c r="G42" s="23">
        <f t="shared" si="58"/>
        <v>0.53194444444444444</v>
      </c>
      <c r="H42" s="23">
        <f t="shared" si="49"/>
        <v>-3.4722222222222099E-3</v>
      </c>
      <c r="I42" s="23"/>
      <c r="J42" s="23">
        <f t="shared" si="8"/>
        <v>0.4861111111111111</v>
      </c>
      <c r="K42" s="30">
        <f>(G42-C42)+TrCeib118[[#This Row],[Tt_tex]]</f>
        <v>4.2361111111111127E-2</v>
      </c>
      <c r="L42" s="30">
        <f>SUMIF(B$4:$B42,TrCeib118[[#This Row],[BUS]],$K$4:K42)</f>
        <v>4.2361111111111127E-2</v>
      </c>
      <c r="M42" s="23">
        <f>_xlfn.IFNA(VLOOKUP(TrCeib118[[#This Row],[BUS]],_xlfn._xlws.SORT(VeredaTr129[[BUS]:[T2]],11,-1,FALSE),11,FALSE),0)</f>
        <v>0.14722222222222214</v>
      </c>
      <c r="N42" s="23">
        <f>+TrCeib118[[#This Row],[∑TrCeib]]+TrCeib118[[#This Row],[T2]]</f>
        <v>0.18958333333333327</v>
      </c>
      <c r="O42" s="23"/>
      <c r="P42" s="40"/>
      <c r="Q42"/>
      <c r="R42" t="s">
        <v>63</v>
      </c>
      <c r="S42" s="28">
        <v>7</v>
      </c>
      <c r="T42" s="23">
        <v>0.50138888888888888</v>
      </c>
      <c r="U42" s="23">
        <f t="shared" ref="U42" si="62">T42-T41</f>
        <v>6.9444444444444198E-3</v>
      </c>
      <c r="V42" s="23">
        <f>VLOOKUP(VeredaTr129[[#This Row],[HORA]],'OFERTA (3)'!B:F,5,TRUE)</f>
        <v>6.9444444444444441E-3</v>
      </c>
      <c r="W42" s="23">
        <f t="shared" si="9"/>
        <v>3.6805555555555557E-2</v>
      </c>
      <c r="X42" s="23">
        <f t="shared" ref="X42" si="63">+T42+W42</f>
        <v>0.53819444444444442</v>
      </c>
      <c r="Y42" s="23">
        <f t="shared" ref="Y42" si="64">+(T41+V42)-T42</f>
        <v>0</v>
      </c>
      <c r="Z42" s="23"/>
      <c r="AA42" s="23">
        <f>+T42+Y42</f>
        <v>0.50138888888888888</v>
      </c>
      <c r="AB42" s="30">
        <f>(X42-T42)</f>
        <v>3.6805555555555536E-2</v>
      </c>
      <c r="AC42" s="30">
        <f>SUMIF($S$4:S42,S42,$AB$4:AB42)</f>
        <v>0.11041666666666664</v>
      </c>
      <c r="AD42" s="23">
        <f>_xlfn.IFNA(VLOOKUP(VeredaTr129[[#This Row],[BUS]],_xlfn._xlws.SORT(TrCeib118[[BUS]:[T2]],11,-1,FALSE),11,FALSE),0)</f>
        <v>0.25416666666666654</v>
      </c>
      <c r="AE42" s="23">
        <f>+VeredaTr129[[#This Row],[∑VeredaTr]]+VeredaTr129[[#This Row],[T2]]</f>
        <v>0.36458333333333315</v>
      </c>
    </row>
    <row r="43" spans="1:31" x14ac:dyDescent="0.35">
      <c r="B43" s="28">
        <v>13</v>
      </c>
      <c r="C43" s="23">
        <v>0.5</v>
      </c>
      <c r="D43" s="23">
        <f t="shared" si="57"/>
        <v>1.0416666666666685E-2</v>
      </c>
      <c r="E43" s="23">
        <f>VLOOKUP(TrCeib118[[#This Row],[HORA]],'OFERTA (3)'!I:M,5,TRUE)</f>
        <v>6.9444444444444441E-3</v>
      </c>
      <c r="F43" s="23">
        <f t="shared" si="0"/>
        <v>4.2361111111111106E-2</v>
      </c>
      <c r="G43" s="23">
        <f t="shared" si="58"/>
        <v>0.54236111111111107</v>
      </c>
      <c r="H43" s="23">
        <f t="shared" si="49"/>
        <v>-3.4722222222222654E-3</v>
      </c>
      <c r="I43" s="23"/>
      <c r="J43" s="23">
        <f t="shared" si="8"/>
        <v>0.49652777777777773</v>
      </c>
      <c r="K43" s="30">
        <f>(G43-C43)+TrCeib118[[#This Row],[Tt_tex]]</f>
        <v>4.2361111111111072E-2</v>
      </c>
      <c r="L43" s="30">
        <f>SUMIF(B$4:$B43,TrCeib118[[#This Row],[BUS]],$K$4:K43)</f>
        <v>0.12708333333333333</v>
      </c>
      <c r="M43" s="23">
        <f>_xlfn.IFNA(VLOOKUP(TrCeib118[[#This Row],[BUS]],_xlfn._xlws.SORT(VeredaTr129[[BUS]:[T2]],11,-1,FALSE),11,FALSE),0)</f>
        <v>0.22083333333333321</v>
      </c>
      <c r="N43" s="23">
        <f>+TrCeib118[[#This Row],[∑TrCeib]]+TrCeib118[[#This Row],[T2]]</f>
        <v>0.34791666666666654</v>
      </c>
      <c r="O43" s="23"/>
      <c r="P43" s="40"/>
      <c r="Q43"/>
      <c r="R43" t="s">
        <v>63</v>
      </c>
      <c r="S43" s="28">
        <v>5</v>
      </c>
      <c r="T43" s="23">
        <v>0.5083333333333333</v>
      </c>
      <c r="U43" s="23">
        <f t="shared" ref="U43" si="65">T43-T42</f>
        <v>6.9444444444444198E-3</v>
      </c>
      <c r="V43" s="23">
        <f>VLOOKUP(VeredaTr129[[#This Row],[HORA]],'OFERTA (3)'!B:F,5,TRUE)</f>
        <v>6.9444444444444441E-3</v>
      </c>
      <c r="W43" s="23">
        <f t="shared" si="9"/>
        <v>3.6805555555555557E-2</v>
      </c>
      <c r="X43" s="23">
        <f t="shared" ref="X43" si="66">+T43+W43</f>
        <v>0.54513888888888884</v>
      </c>
      <c r="Y43" s="23">
        <f t="shared" ref="Y43" si="67">+(T42+V43)-T43</f>
        <v>0</v>
      </c>
      <c r="Z43" s="23"/>
      <c r="AA43" s="23">
        <f>+T43+Y43</f>
        <v>0.5083333333333333</v>
      </c>
      <c r="AB43" s="30">
        <f>(X43-T43)</f>
        <v>3.6805555555555536E-2</v>
      </c>
      <c r="AC43" s="30">
        <f>SUMIF($S$4:S43,S43,$AB$4:AB43)</f>
        <v>0.14722222222222214</v>
      </c>
      <c r="AD43" s="23">
        <f>_xlfn.IFNA(VLOOKUP(VeredaTr129[[#This Row],[BUS]],_xlfn._xlws.SORT(TrCeib118[[BUS]:[T2]],11,-1,FALSE),11,FALSE),0)</f>
        <v>0.1694444444444444</v>
      </c>
      <c r="AE43" s="23">
        <f>+VeredaTr129[[#This Row],[∑VeredaTr]]+VeredaTr129[[#This Row],[T2]]</f>
        <v>0.31666666666666654</v>
      </c>
    </row>
    <row r="44" spans="1:31" x14ac:dyDescent="0.35">
      <c r="B44" s="28">
        <v>14</v>
      </c>
      <c r="C44" s="23">
        <v>0.51041666666666674</v>
      </c>
      <c r="D44" s="23">
        <f t="shared" si="57"/>
        <v>1.0416666666666741E-2</v>
      </c>
      <c r="E44" s="23">
        <f>VLOOKUP(TrCeib118[[#This Row],[HORA]],'OFERTA (3)'!I:M,5,TRUE)</f>
        <v>6.9444444444444441E-3</v>
      </c>
      <c r="F44" s="23">
        <f t="shared" si="0"/>
        <v>4.2361111111111106E-2</v>
      </c>
      <c r="G44" s="23">
        <f t="shared" si="58"/>
        <v>0.55277777777777781</v>
      </c>
      <c r="H44" s="23">
        <f t="shared" si="49"/>
        <v>-3.4722222222223209E-3</v>
      </c>
      <c r="I44" s="23"/>
      <c r="J44" s="23">
        <f t="shared" si="8"/>
        <v>0.50694444444444442</v>
      </c>
      <c r="K44" s="30">
        <f>(G44-C44)+TrCeib118[[#This Row],[Tt_tex]]</f>
        <v>4.2361111111111072E-2</v>
      </c>
      <c r="L44" s="30">
        <f>SUMIF(B$4:$B98,TrCeib118[[#This Row],[BUS]],$K$4:K98)</f>
        <v>0.25416666666666654</v>
      </c>
      <c r="M44" s="23">
        <f>_xlfn.IFNA(VLOOKUP(TrCeib118[[#This Row],[BUS]],_xlfn._xlws.SORT(VeredaTr129[[BUS]:[T2]],11,-1,FALSE),11,FALSE),0)</f>
        <v>0.22083333333333327</v>
      </c>
      <c r="N44" s="23">
        <f>+TrCeib118[[#This Row],[∑TrCeib]]+TrCeib118[[#This Row],[T2]]</f>
        <v>0.47499999999999981</v>
      </c>
      <c r="O44" s="23"/>
      <c r="P44"/>
      <c r="Q44"/>
      <c r="R44" t="s">
        <v>63</v>
      </c>
      <c r="S44" s="28">
        <v>8</v>
      </c>
      <c r="T44" s="23">
        <v>0.51527777777777783</v>
      </c>
      <c r="U44" s="23">
        <f t="shared" ref="U44:U48" si="68">T44-T43</f>
        <v>6.9444444444445308E-3</v>
      </c>
      <c r="V44" s="23">
        <f>VLOOKUP(VeredaTr129[[#This Row],[HORA]],'OFERTA (3)'!B:F,5,TRUE)</f>
        <v>6.9444444444444441E-3</v>
      </c>
      <c r="W44" s="23">
        <f t="shared" si="9"/>
        <v>3.6805555555555557E-2</v>
      </c>
      <c r="X44" s="23">
        <f t="shared" ref="X44:X48" si="69">+T44+W44</f>
        <v>0.55208333333333337</v>
      </c>
      <c r="Y44" s="23">
        <f t="shared" ref="Y44:Y48" si="70">+(T43+V44)-T44</f>
        <v>0</v>
      </c>
      <c r="Z44" s="23"/>
      <c r="AA44" s="23">
        <f>+T44+Y44</f>
        <v>0.51527777777777783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_xlfn.IFNA(VLOOKUP(VeredaTr129[[#This Row],[BUS]],_xlfn._xlws.SORT(TrCeib118[[BUS]:[T2]],11,-1,FALSE),11,FALSE),0)</f>
        <v>0.25416666666666654</v>
      </c>
      <c r="AE44" s="23">
        <f>+VeredaTr129[[#This Row],[∑VeredaTr]]+VeredaTr129[[#This Row],[T2]]</f>
        <v>0.36458333333333315</v>
      </c>
    </row>
    <row r="45" spans="1:31" x14ac:dyDescent="0.35">
      <c r="B45" s="28">
        <v>15</v>
      </c>
      <c r="C45" s="23">
        <v>0.51736111111111116</v>
      </c>
      <c r="D45" s="23">
        <f t="shared" si="57"/>
        <v>6.9444444444444198E-3</v>
      </c>
      <c r="E45" s="23">
        <f>VLOOKUP(TrCeib118[[#This Row],[HORA]],'OFERTA (3)'!I:M,5,TRUE)</f>
        <v>6.9444444444444441E-3</v>
      </c>
      <c r="F45" s="23">
        <f t="shared" si="0"/>
        <v>4.2361111111111106E-2</v>
      </c>
      <c r="G45" s="23">
        <f t="shared" si="58"/>
        <v>0.55972222222222223</v>
      </c>
      <c r="H45" s="23">
        <f t="shared" ref="H45:H46" si="71">+(C44+E45)-C45</f>
        <v>0</v>
      </c>
      <c r="I45" s="23"/>
      <c r="J45" s="23">
        <f t="shared" ref="J45:J51" si="72">+C45+H45</f>
        <v>0.51736111111111116</v>
      </c>
      <c r="K45" s="30">
        <f>(G45-C45)+TrCeib118[[#This Row],[Tt_tex]]</f>
        <v>4.2361111111111072E-2</v>
      </c>
      <c r="L45" s="30">
        <f>SUMIF(B$4:$B45,TrCeib118[[#This Row],[BUS]],$K$4:K45)</f>
        <v>0.12708333333333333</v>
      </c>
      <c r="M45" s="23">
        <f>_xlfn.IFNA(VLOOKUP(TrCeib118[[#This Row],[BUS]],_xlfn._xlws.SORT(VeredaTr129[[BUS]:[T2]],11,-1,FALSE),11,FALSE),0)</f>
        <v>0.1472222222222222</v>
      </c>
      <c r="N45" s="23">
        <f>+TrCeib118[[#This Row],[∑TrCeib]]+TrCeib118[[#This Row],[T2]]</f>
        <v>0.27430555555555552</v>
      </c>
      <c r="O45" s="23"/>
      <c r="P45"/>
      <c r="Q45"/>
      <c r="S45" s="28">
        <v>9</v>
      </c>
      <c r="T45" s="23">
        <v>0.52222222222222225</v>
      </c>
      <c r="U45" s="23">
        <f t="shared" si="68"/>
        <v>6.9444444444444198E-3</v>
      </c>
      <c r="V45" s="23">
        <f>VLOOKUP(VeredaTr129[[#This Row],[HORA]],'OFERTA (3)'!B:F,5,TRUE)</f>
        <v>6.9444444444444441E-3</v>
      </c>
      <c r="W45" s="23">
        <f t="shared" si="9"/>
        <v>3.6805555555555557E-2</v>
      </c>
      <c r="X45" s="23">
        <f t="shared" si="69"/>
        <v>0.55902777777777779</v>
      </c>
      <c r="Y45" s="23">
        <f t="shared" si="70"/>
        <v>0</v>
      </c>
      <c r="Z45" s="23">
        <v>3.2638888888888884E-2</v>
      </c>
      <c r="AA45" s="23">
        <f t="shared" si="3"/>
        <v>0.52222222222222225</v>
      </c>
      <c r="AB45" s="30">
        <f t="shared" si="12"/>
        <v>3.6805555555555536E-2</v>
      </c>
      <c r="AC45" s="30">
        <f>SUMIF($S$4:S45,S45,$AB$4:AB45)</f>
        <v>0.11041666666666661</v>
      </c>
      <c r="AD45" s="23">
        <f>_xlfn.IFNA(VLOOKUP(VeredaTr129[[#This Row],[BUS]],_xlfn._xlws.SORT(TrCeib118[[BUS]:[T2]],11,-1,FALSE),11,FALSE),0)</f>
        <v>0.2541666666666666</v>
      </c>
      <c r="AE45" s="23">
        <f>+VeredaTr129[[#This Row],[∑VeredaTr]]+VeredaTr129[[#This Row],[T2]]</f>
        <v>0.3645833333333332</v>
      </c>
    </row>
    <row r="46" spans="1:31" x14ac:dyDescent="0.35">
      <c r="B46" s="28">
        <v>17</v>
      </c>
      <c r="C46" s="23">
        <v>0.52430555555555558</v>
      </c>
      <c r="D46" s="23">
        <f t="shared" ref="D46" si="73">C46-C45</f>
        <v>6.9444444444444198E-3</v>
      </c>
      <c r="E46" s="23">
        <f>VLOOKUP(TrCeib118[[#This Row],[HORA]],'OFERTA (3)'!I:M,5,TRUE)</f>
        <v>6.9444444444444441E-3</v>
      </c>
      <c r="F46" s="23">
        <f t="shared" si="0"/>
        <v>4.2361111111111106E-2</v>
      </c>
      <c r="G46" s="23">
        <f t="shared" ref="G46" si="74">C46+F46</f>
        <v>0.56666666666666665</v>
      </c>
      <c r="H46" s="23">
        <f t="shared" si="71"/>
        <v>0</v>
      </c>
      <c r="I46" s="23"/>
      <c r="J46" s="23">
        <f t="shared" si="72"/>
        <v>0.52430555555555558</v>
      </c>
      <c r="K46" s="30">
        <f>(G46-C46)+TrCeib118[[#This Row],[Tt_tex]]</f>
        <v>4.2361111111111072E-2</v>
      </c>
      <c r="L46" s="30">
        <f>SUMIF(B$4:$B46,TrCeib118[[#This Row],[BUS]],$K$4:K46)</f>
        <v>4.2361111111111072E-2</v>
      </c>
      <c r="M46" s="23">
        <f>_xlfn.IFNA(VLOOKUP(TrCeib118[[#This Row],[BUS]],_xlfn._xlws.SORT(VeredaTr129[[BUS]:[T2]],11,-1,FALSE),11,FALSE),0)</f>
        <v>0.1472222222222222</v>
      </c>
      <c r="N46" s="23">
        <f>+TrCeib118[[#This Row],[∑TrCeib]]+TrCeib118[[#This Row],[T2]]</f>
        <v>0.18958333333333327</v>
      </c>
      <c r="O46" s="23"/>
      <c r="P46"/>
      <c r="Q46"/>
      <c r="S46" s="28">
        <v>10</v>
      </c>
      <c r="T46" s="23">
        <v>0.52916666666666667</v>
      </c>
      <c r="U46" s="23">
        <f t="shared" si="68"/>
        <v>6.9444444444444198E-3</v>
      </c>
      <c r="V46" s="23">
        <f>VLOOKUP(VeredaTr129[[#This Row],[HORA]],'OFERTA (3)'!B:F,5,TRUE)</f>
        <v>6.9444444444444441E-3</v>
      </c>
      <c r="W46" s="23">
        <f t="shared" si="9"/>
        <v>3.6805555555555557E-2</v>
      </c>
      <c r="X46" s="23">
        <f t="shared" si="69"/>
        <v>0.56597222222222221</v>
      </c>
      <c r="Y46" s="23">
        <f t="shared" si="70"/>
        <v>0</v>
      </c>
      <c r="Z46" s="23">
        <v>2.8472222222222232E-2</v>
      </c>
      <c r="AA46" s="23">
        <f t="shared" si="3"/>
        <v>0.52916666666666667</v>
      </c>
      <c r="AB46" s="30">
        <f t="shared" si="12"/>
        <v>3.6805555555555536E-2</v>
      </c>
      <c r="AC46" s="30">
        <f>SUMIF($S$4:S46,S46,$AB$4:AB46)</f>
        <v>0.11041666666666661</v>
      </c>
      <c r="AD46" s="23">
        <f>_xlfn.IFNA(VLOOKUP(VeredaTr129[[#This Row],[BUS]],_xlfn._xlws.SORT(TrCeib118[[BUS]:[T2]],11,-1,FALSE),11,FALSE),0)</f>
        <v>0.2541666666666666</v>
      </c>
      <c r="AE46" s="23">
        <f>+VeredaTr129[[#This Row],[∑VeredaTr]]+VeredaTr129[[#This Row],[T2]]</f>
        <v>0.3645833333333332</v>
      </c>
    </row>
    <row r="47" spans="1:31" x14ac:dyDescent="0.35">
      <c r="B47" s="28">
        <v>18</v>
      </c>
      <c r="C47" s="23">
        <v>0.53125</v>
      </c>
      <c r="D47" s="23">
        <f t="shared" ref="D47:D61" si="75">C47-C46</f>
        <v>6.9444444444444198E-3</v>
      </c>
      <c r="E47" s="23">
        <f>VLOOKUP(TrCeib118[[#This Row],[HORA]],'OFERTA (3)'!I:M,5,TRUE)</f>
        <v>6.9444444444444441E-3</v>
      </c>
      <c r="F47" s="23">
        <f t="shared" si="0"/>
        <v>4.2361111111111106E-2</v>
      </c>
      <c r="G47" s="23">
        <f t="shared" ref="G47:G61" si="76">C47+F47</f>
        <v>0.57361111111111107</v>
      </c>
      <c r="H47" s="23">
        <f t="shared" ref="H47:H61" si="77">+(C46+E47)-C47</f>
        <v>0</v>
      </c>
      <c r="I47" s="23"/>
      <c r="J47" s="23">
        <f t="shared" si="72"/>
        <v>0.53125</v>
      </c>
      <c r="K47" s="30">
        <f>(G47-C47)+TrCeib118[[#This Row],[Tt_tex]]</f>
        <v>4.2361111111111072E-2</v>
      </c>
      <c r="L47" s="30">
        <f>SUMIF(B$4:$B47,TrCeib118[[#This Row],[BUS]],$K$4:K47)</f>
        <v>4.2361111111111072E-2</v>
      </c>
      <c r="M47" s="23">
        <f>_xlfn.IFNA(VLOOKUP(TrCeib118[[#This Row],[BUS]],_xlfn._xlws.SORT(VeredaTr129[[BUS]:[T2]],11,-1,FALSE),11,FALSE),0)</f>
        <v>0.18402777777777768</v>
      </c>
      <c r="N47" s="23">
        <f>+TrCeib118[[#This Row],[∑TrCeib]]+TrCeib118[[#This Row],[T2]]</f>
        <v>0.22638888888888875</v>
      </c>
      <c r="O47" s="23"/>
      <c r="P47"/>
      <c r="Q47"/>
      <c r="S47" s="28">
        <v>11</v>
      </c>
      <c r="T47" s="23">
        <v>0.53611111111111109</v>
      </c>
      <c r="U47" s="23">
        <f t="shared" si="68"/>
        <v>6.9444444444444198E-3</v>
      </c>
      <c r="V47" s="23">
        <f>VLOOKUP(VeredaTr129[[#This Row],[HORA]],'OFERTA (3)'!B:F,5,TRUE)</f>
        <v>6.9444444444444441E-3</v>
      </c>
      <c r="W47" s="23">
        <f t="shared" si="9"/>
        <v>3.6805555555555557E-2</v>
      </c>
      <c r="X47" s="23">
        <f t="shared" si="69"/>
        <v>0.57291666666666663</v>
      </c>
      <c r="Y47" s="23">
        <f t="shared" si="70"/>
        <v>0</v>
      </c>
      <c r="Z47" s="23">
        <v>2.5000000000000022E-2</v>
      </c>
      <c r="AA47" s="23">
        <f>+T47+Y47</f>
        <v>0.53611111111111109</v>
      </c>
      <c r="AB47" s="30">
        <f>(X47-T47)</f>
        <v>3.6805555555555536E-2</v>
      </c>
      <c r="AC47" s="30">
        <f>SUMIF($S$4:S47,S47,$AB$4:AB47)</f>
        <v>0.11041666666666661</v>
      </c>
      <c r="AD47" s="23">
        <f>_xlfn.IFNA(VLOOKUP(VeredaTr129[[#This Row],[BUS]],_xlfn._xlws.SORT(TrCeib118[[BUS]:[T2]],11,-1,FALSE),11,FALSE),0)</f>
        <v>0.25416666666666654</v>
      </c>
      <c r="AE47" s="23">
        <f>+VeredaTr129[[#This Row],[∑VeredaTr]]+VeredaTr129[[#This Row],[T2]]</f>
        <v>0.36458333333333315</v>
      </c>
    </row>
    <row r="48" spans="1:31" x14ac:dyDescent="0.35">
      <c r="B48" s="28">
        <v>7</v>
      </c>
      <c r="C48" s="23">
        <v>0.53819444444444442</v>
      </c>
      <c r="D48" s="23">
        <f t="shared" si="75"/>
        <v>6.9444444444444198E-3</v>
      </c>
      <c r="E48" s="23">
        <f>VLOOKUP(TrCeib118[[#This Row],[HORA]],'OFERTA (3)'!I:M,5,TRUE)</f>
        <v>6.9444444444444441E-3</v>
      </c>
      <c r="F48" s="23">
        <f t="shared" si="0"/>
        <v>4.2361111111111106E-2</v>
      </c>
      <c r="G48" s="23">
        <f t="shared" si="76"/>
        <v>0.58055555555555549</v>
      </c>
      <c r="H48" s="23">
        <f t="shared" si="77"/>
        <v>0</v>
      </c>
      <c r="I48" s="23"/>
      <c r="J48" s="23">
        <f t="shared" si="72"/>
        <v>0.53819444444444442</v>
      </c>
      <c r="K48" s="30">
        <f>(G48-C48)+TrCeib118[[#This Row],[Tt_tex]]</f>
        <v>4.2361111111111072E-2</v>
      </c>
      <c r="L48" s="30">
        <f>SUMIF(B$4:$B48,TrCeib118[[#This Row],[BUS]],$K$4:K48)</f>
        <v>0.12708333333333333</v>
      </c>
      <c r="M48" s="23">
        <f>_xlfn.IFNA(VLOOKUP(TrCeib118[[#This Row],[BUS]],_xlfn._xlws.SORT(VeredaTr129[[BUS]:[T2]],11,-1,FALSE),11,FALSE),0)</f>
        <v>0.22083333333333324</v>
      </c>
      <c r="N48" s="23">
        <f>+TrCeib118[[#This Row],[∑TrCeib]]+TrCeib118[[#This Row],[T2]]</f>
        <v>0.34791666666666654</v>
      </c>
      <c r="O48" s="23"/>
      <c r="P48"/>
      <c r="Q48"/>
      <c r="S48" s="28">
        <v>12</v>
      </c>
      <c r="T48" s="23">
        <v>0.54305555555555551</v>
      </c>
      <c r="U48" s="23">
        <f t="shared" si="68"/>
        <v>6.9444444444444198E-3</v>
      </c>
      <c r="V48" s="23">
        <f>VLOOKUP(VeredaTr129[[#This Row],[HORA]],'OFERTA (3)'!B:F,5,TRUE)</f>
        <v>6.9444444444444441E-3</v>
      </c>
      <c r="W48" s="23">
        <f t="shared" si="9"/>
        <v>3.6805555555555557E-2</v>
      </c>
      <c r="X48" s="23">
        <f t="shared" si="69"/>
        <v>0.57986111111111105</v>
      </c>
      <c r="Y48" s="23">
        <f t="shared" si="70"/>
        <v>0</v>
      </c>
      <c r="Z48" s="23">
        <v>2.1527777777777701E-2</v>
      </c>
      <c r="AA48" s="23">
        <f t="shared" si="3"/>
        <v>0.54305555555555551</v>
      </c>
      <c r="AB48" s="30">
        <f t="shared" si="12"/>
        <v>3.6805555555555536E-2</v>
      </c>
      <c r="AC48" s="30">
        <f>SUMIF($S$4:S48,S48,$AB$4:AB48)</f>
        <v>0.11041666666666661</v>
      </c>
      <c r="AD48" s="23">
        <f>_xlfn.IFNA(VLOOKUP(VeredaTr129[[#This Row],[BUS]],_xlfn._xlws.SORT(TrCeib118[[BUS]:[T2]],11,-1,FALSE),11,FALSE),0)</f>
        <v>0.2541666666666666</v>
      </c>
      <c r="AE48" s="23">
        <f>+VeredaTr129[[#This Row],[∑VeredaTr]]+VeredaTr129[[#This Row],[T2]]</f>
        <v>0.3645833333333332</v>
      </c>
    </row>
    <row r="49" spans="1:31" x14ac:dyDescent="0.35">
      <c r="B49" s="28">
        <v>5</v>
      </c>
      <c r="C49" s="23">
        <v>0.54513888888888884</v>
      </c>
      <c r="D49" s="23">
        <f t="shared" si="75"/>
        <v>6.9444444444444198E-3</v>
      </c>
      <c r="E49" s="23">
        <f>VLOOKUP(TrCeib118[[#This Row],[HORA]],'OFERTA (3)'!I:M,5,TRUE)</f>
        <v>6.9444444444444441E-3</v>
      </c>
      <c r="F49" s="23">
        <f t="shared" si="0"/>
        <v>4.2361111111111106E-2</v>
      </c>
      <c r="G49" s="23">
        <f t="shared" si="76"/>
        <v>0.58749999999999991</v>
      </c>
      <c r="H49" s="23">
        <f t="shared" si="77"/>
        <v>0</v>
      </c>
      <c r="I49" s="23"/>
      <c r="J49" s="23">
        <f t="shared" si="72"/>
        <v>0.54513888888888884</v>
      </c>
      <c r="K49" s="30">
        <f>(G49-C49)+TrCeib118[[#This Row],[Tt_tex]]</f>
        <v>4.2361111111111072E-2</v>
      </c>
      <c r="L49" s="30">
        <f>SUMIF(B$4:$B49,TrCeib118[[#This Row],[BUS]],$K$4:K49)</f>
        <v>0.12708333333333333</v>
      </c>
      <c r="M49" s="23">
        <f>_xlfn.IFNA(VLOOKUP(TrCeib118[[#This Row],[BUS]],_xlfn._xlws.SORT(VeredaTr129[[BUS]:[T2]],11,-1,FALSE),11,FALSE),0)</f>
        <v>0.18402777777777768</v>
      </c>
      <c r="N49" s="23">
        <f>+TrCeib118[[#This Row],[∑TrCeib]]+TrCeib118[[#This Row],[T2]]</f>
        <v>0.31111111111111101</v>
      </c>
      <c r="O49" s="23"/>
      <c r="P49"/>
      <c r="Q49"/>
      <c r="R49" t="s">
        <v>63</v>
      </c>
      <c r="S49" s="28">
        <v>6</v>
      </c>
      <c r="T49" s="23">
        <v>0.54999999999999993</v>
      </c>
      <c r="U49" s="23">
        <f t="shared" ref="U49:U50" si="78">T49-T48</f>
        <v>6.9444444444444198E-3</v>
      </c>
      <c r="V49" s="23">
        <f>VLOOKUP(VeredaTr129[[#This Row],[HORA]],'OFERTA (3)'!B:F,5,TRUE)</f>
        <v>6.9444444444444441E-3</v>
      </c>
      <c r="W49" s="23">
        <f t="shared" si="9"/>
        <v>3.6805555555555557E-2</v>
      </c>
      <c r="X49" s="23">
        <f t="shared" ref="X49:X50" si="79">+T49+W49</f>
        <v>0.58680555555555547</v>
      </c>
      <c r="Y49" s="23">
        <f t="shared" ref="Y49:Y50" si="80">+(T48+V49)-T49</f>
        <v>0</v>
      </c>
      <c r="Z49" s="23"/>
      <c r="AA49" s="23">
        <f>+T49+Y49</f>
        <v>0.54999999999999993</v>
      </c>
      <c r="AB49" s="30">
        <f>(X49-T49)</f>
        <v>3.6805555555555536E-2</v>
      </c>
      <c r="AC49" s="30">
        <f>SUMIF($S$4:S49,S49,$AB$4:AB49)</f>
        <v>0.14722222222222217</v>
      </c>
      <c r="AD49" s="23">
        <f>_xlfn.IFNA(VLOOKUP(VeredaTr129[[#This Row],[BUS]],_xlfn._xlws.SORT(TrCeib118[[BUS]:[T2]],11,-1,FALSE),11,FALSE),0)</f>
        <v>0.1694444444444444</v>
      </c>
      <c r="AE49" s="23">
        <f>+VeredaTr129[[#This Row],[∑VeredaTr]]+VeredaTr129[[#This Row],[T2]]</f>
        <v>0.31666666666666654</v>
      </c>
    </row>
    <row r="50" spans="1:31" x14ac:dyDescent="0.35">
      <c r="B50" s="28">
        <v>8</v>
      </c>
      <c r="C50" s="23">
        <v>0.55208333333333337</v>
      </c>
      <c r="D50" s="23">
        <f t="shared" si="75"/>
        <v>6.9444444444445308E-3</v>
      </c>
      <c r="E50" s="23">
        <f>VLOOKUP(TrCeib118[[#This Row],[HORA]],'OFERTA (3)'!I:M,5,TRUE)</f>
        <v>6.9444444444444441E-3</v>
      </c>
      <c r="F50" s="23">
        <f t="shared" si="0"/>
        <v>4.2361111111111106E-2</v>
      </c>
      <c r="G50" s="23">
        <f t="shared" si="76"/>
        <v>0.59444444444444444</v>
      </c>
      <c r="H50" s="23">
        <f t="shared" si="77"/>
        <v>0</v>
      </c>
      <c r="I50" s="23"/>
      <c r="J50" s="23">
        <f t="shared" si="72"/>
        <v>0.55208333333333337</v>
      </c>
      <c r="K50" s="30">
        <f>(G50-C50)+TrCeib118[[#This Row],[Tt_tex]]</f>
        <v>4.2361111111111072E-2</v>
      </c>
      <c r="L50" s="30">
        <f>SUMIF(B$4:$B50,TrCeib118[[#This Row],[BUS]],$K$4:K50)</f>
        <v>0.12708333333333333</v>
      </c>
      <c r="M50" s="23">
        <f>_xlfn.IFNA(VLOOKUP(TrCeib118[[#This Row],[BUS]],_xlfn._xlws.SORT(VeredaTr129[[BUS]:[T2]],11,-1,FALSE),11,FALSE),0)</f>
        <v>0.22083333333333321</v>
      </c>
      <c r="N50" s="23">
        <f>+TrCeib118[[#This Row],[∑TrCeib]]+TrCeib118[[#This Row],[T2]]</f>
        <v>0.34791666666666654</v>
      </c>
      <c r="O50" s="23"/>
      <c r="P50"/>
      <c r="Q50"/>
      <c r="R50" t="s">
        <v>63</v>
      </c>
      <c r="S50" s="28">
        <v>1</v>
      </c>
      <c r="T50" s="23">
        <v>0.55694444444444446</v>
      </c>
      <c r="U50" s="23">
        <f t="shared" si="78"/>
        <v>6.9444444444445308E-3</v>
      </c>
      <c r="V50" s="23">
        <f>VLOOKUP(VeredaTr129[[#This Row],[HORA]],'OFERTA (3)'!B:F,5,TRUE)</f>
        <v>6.9444444444444441E-3</v>
      </c>
      <c r="W50" s="23">
        <f t="shared" si="9"/>
        <v>3.6805555555555557E-2</v>
      </c>
      <c r="X50" s="23">
        <f t="shared" si="79"/>
        <v>0.59375</v>
      </c>
      <c r="Y50" s="23">
        <f t="shared" si="80"/>
        <v>0</v>
      </c>
      <c r="Z50" s="23"/>
      <c r="AA50" s="23">
        <f>+T50+Y50</f>
        <v>0.55694444444444446</v>
      </c>
      <c r="AB50" s="30">
        <f>(X50-T50)</f>
        <v>3.6805555555555536E-2</v>
      </c>
      <c r="AC50" s="30">
        <f>SUMIF($S$4:S50,S50,$AB$4:AB50)</f>
        <v>0.11041666666666661</v>
      </c>
      <c r="AD50" s="23">
        <f>_xlfn.IFNA(VLOOKUP(VeredaTr129[[#This Row],[BUS]],_xlfn._xlws.SORT(TrCeib118[[BUS]:[T2]],11,-1,FALSE),11,FALSE),0)</f>
        <v>0.2541666666666666</v>
      </c>
      <c r="AE50" s="23">
        <f>+VeredaTr129[[#This Row],[∑VeredaTr]]+VeredaTr129[[#This Row],[T2]]</f>
        <v>0.3645833333333332</v>
      </c>
    </row>
    <row r="51" spans="1:31" x14ac:dyDescent="0.35">
      <c r="A51" t="s">
        <v>70</v>
      </c>
      <c r="B51" s="28">
        <v>9</v>
      </c>
      <c r="C51" s="23">
        <v>0.55902777777777779</v>
      </c>
      <c r="D51" s="23">
        <f t="shared" si="75"/>
        <v>6.9444444444444198E-3</v>
      </c>
      <c r="E51" s="23">
        <f>VLOOKUP(TrCeib118[[#This Row],[HORA]],'OFERTA (3)'!I:M,5,TRUE)</f>
        <v>6.9444444444444441E-3</v>
      </c>
      <c r="F51" s="23">
        <f t="shared" si="0"/>
        <v>4.2361111111111106E-2</v>
      </c>
      <c r="G51" s="23">
        <f t="shared" si="76"/>
        <v>0.60138888888888886</v>
      </c>
      <c r="H51" s="23">
        <f t="shared" si="77"/>
        <v>0</v>
      </c>
      <c r="I51" s="23"/>
      <c r="J51" s="23">
        <f t="shared" si="72"/>
        <v>0.55902777777777779</v>
      </c>
      <c r="K51" s="30">
        <f>(G51-C51)+TrCeib118[[#This Row],[Tt_tex]]</f>
        <v>4.2361111111111072E-2</v>
      </c>
      <c r="L51" s="30">
        <f>SUMIF(B$4:$B98,TrCeib118[[#This Row],[BUS]],$K$4:K98)</f>
        <v>0.2541666666666666</v>
      </c>
      <c r="M51" s="23">
        <f>_xlfn.IFNA(VLOOKUP(TrCeib118[[#This Row],[BUS]],_xlfn._xlws.SORT(VeredaTr129[[BUS]:[T2]],11,-1,FALSE),11,FALSE),0)</f>
        <v>0.18402777777777768</v>
      </c>
      <c r="N51" s="23">
        <f>+TrCeib118[[#This Row],[∑TrCeib]]+TrCeib118[[#This Row],[T2]]</f>
        <v>0.43819444444444428</v>
      </c>
      <c r="O51" s="23"/>
      <c r="P51" s="40"/>
      <c r="Q51"/>
      <c r="S51" s="28">
        <v>16</v>
      </c>
      <c r="T51" s="23">
        <v>0.56388888888888888</v>
      </c>
      <c r="U51" s="23">
        <f t="shared" ref="U51:U55" si="81">T51-T50</f>
        <v>6.9444444444444198E-3</v>
      </c>
      <c r="V51" s="23">
        <f>VLOOKUP(VeredaTr129[[#This Row],[HORA]],'OFERTA (3)'!B:F,5,TRUE)</f>
        <v>6.9444444444444441E-3</v>
      </c>
      <c r="W51" s="23">
        <f t="shared" si="9"/>
        <v>3.6805555555555557E-2</v>
      </c>
      <c r="X51" s="23">
        <f t="shared" ref="X51:X55" si="82">+T51+W51</f>
        <v>0.60069444444444442</v>
      </c>
      <c r="Y51" s="23">
        <f t="shared" ref="Y51:Y55" si="83">+(T50+V51)-T51</f>
        <v>0</v>
      </c>
      <c r="Z51" s="23">
        <v>3.1944444444444442E-2</v>
      </c>
      <c r="AA51" s="23">
        <f t="shared" si="3"/>
        <v>0.56388888888888888</v>
      </c>
      <c r="AB51" s="30">
        <f t="shared" si="12"/>
        <v>3.6805555555555536E-2</v>
      </c>
      <c r="AC51" s="30">
        <f>SUMIF($S$4:S51,S51,$AB$4:AB51)</f>
        <v>7.3611111111111072E-2</v>
      </c>
      <c r="AD51" s="23">
        <f>_xlfn.IFNA(VLOOKUP(VeredaTr129[[#This Row],[BUS]],_xlfn._xlws.SORT(TrCeib118[[BUS]:[T2]],11,-1,FALSE),11,FALSE),0)</f>
        <v>0.16944444444444434</v>
      </c>
      <c r="AE51" s="23">
        <f>+VeredaTr129[[#This Row],[∑VeredaTr]]+VeredaTr129[[#This Row],[T2]]</f>
        <v>0.24305555555555541</v>
      </c>
    </row>
    <row r="52" spans="1:31" x14ac:dyDescent="0.35">
      <c r="A52" t="s">
        <v>70</v>
      </c>
      <c r="B52" s="28">
        <v>10</v>
      </c>
      <c r="C52" s="23">
        <v>0.56597222222222221</v>
      </c>
      <c r="D52" s="23">
        <f t="shared" si="75"/>
        <v>6.9444444444444198E-3</v>
      </c>
      <c r="E52" s="23">
        <f>VLOOKUP(TrCeib118[[#This Row],[HORA]],'OFERTA (3)'!I:M,5,TRUE)</f>
        <v>6.9444444444444441E-3</v>
      </c>
      <c r="F52" s="23">
        <f t="shared" si="0"/>
        <v>4.2361111111111106E-2</v>
      </c>
      <c r="G52" s="23">
        <f t="shared" si="76"/>
        <v>0.60833333333333328</v>
      </c>
      <c r="H52" s="23">
        <f t="shared" si="77"/>
        <v>0</v>
      </c>
      <c r="I52" s="23"/>
      <c r="J52" s="23">
        <f t="shared" ref="J52:J61" si="84">+C52+H52</f>
        <v>0.56597222222222221</v>
      </c>
      <c r="K52" s="30">
        <f>(G52-C52)+TrCeib118[[#This Row],[Tt_tex]]</f>
        <v>4.2361111111111072E-2</v>
      </c>
      <c r="L52" s="30">
        <f>SUMIF(B$4:$B52,TrCeib118[[#This Row],[BUS]],$K$4:K52)</f>
        <v>0.16944444444444445</v>
      </c>
      <c r="M52" s="23">
        <f>_xlfn.IFNA(VLOOKUP(TrCeib118[[#This Row],[BUS]],_xlfn._xlws.SORT(VeredaTr129[[BUS]:[T2]],11,-1,FALSE),11,FALSE),0)</f>
        <v>0.18402777777777768</v>
      </c>
      <c r="N52" s="23">
        <f>+TrCeib118[[#This Row],[∑TrCeib]]+TrCeib118[[#This Row],[T2]]</f>
        <v>0.35347222222222213</v>
      </c>
      <c r="O52" s="23"/>
      <c r="P52"/>
      <c r="Q52"/>
      <c r="S52" s="28">
        <v>13</v>
      </c>
      <c r="T52" s="23">
        <v>0.5708333333333333</v>
      </c>
      <c r="U52" s="23">
        <f t="shared" si="81"/>
        <v>6.9444444444444198E-3</v>
      </c>
      <c r="V52" s="23">
        <f>VLOOKUP(VeredaTr129[[#This Row],[HORA]],'OFERTA (3)'!B:F,5,TRUE)</f>
        <v>6.9444444444444441E-3</v>
      </c>
      <c r="W52" s="23">
        <f t="shared" si="9"/>
        <v>3.6805555555555557E-2</v>
      </c>
      <c r="X52" s="23">
        <f t="shared" si="82"/>
        <v>0.60763888888888884</v>
      </c>
      <c r="Y52" s="23">
        <f t="shared" si="83"/>
        <v>0</v>
      </c>
      <c r="Z52" s="23">
        <v>2.8472222222222232E-2</v>
      </c>
      <c r="AA52" s="23">
        <f t="shared" si="3"/>
        <v>0.5708333333333333</v>
      </c>
      <c r="AB52" s="30">
        <f t="shared" si="12"/>
        <v>3.6805555555555536E-2</v>
      </c>
      <c r="AC52" s="30">
        <f>SUMIF($S$4:S52,S52,$AB$4:AB52)</f>
        <v>0.14722222222222214</v>
      </c>
      <c r="AD52" s="23">
        <f>_xlfn.IFNA(VLOOKUP(VeredaTr129[[#This Row],[BUS]],_xlfn._xlws.SORT(TrCeib118[[BUS]:[T2]],11,-1,FALSE),11,FALSE),0)</f>
        <v>0.25416666666666654</v>
      </c>
      <c r="AE52" s="23">
        <f>+VeredaTr129[[#This Row],[∑VeredaTr]]+VeredaTr129[[#This Row],[T2]]</f>
        <v>0.40138888888888868</v>
      </c>
    </row>
    <row r="53" spans="1:31" x14ac:dyDescent="0.35">
      <c r="A53" t="s">
        <v>70</v>
      </c>
      <c r="B53" s="28">
        <v>11</v>
      </c>
      <c r="C53" s="23">
        <v>0.57291666666666663</v>
      </c>
      <c r="D53" s="23">
        <f t="shared" si="75"/>
        <v>6.9444444444444198E-3</v>
      </c>
      <c r="E53" s="23">
        <f>VLOOKUP(TrCeib118[[#This Row],[HORA]],'OFERTA (3)'!I:M,5,TRUE)</f>
        <v>6.9444444444444441E-3</v>
      </c>
      <c r="F53" s="23">
        <f t="shared" si="0"/>
        <v>4.2361111111111106E-2</v>
      </c>
      <c r="G53" s="23">
        <f t="shared" si="76"/>
        <v>0.6152777777777777</v>
      </c>
      <c r="H53" s="23">
        <f t="shared" si="77"/>
        <v>0</v>
      </c>
      <c r="I53" s="23"/>
      <c r="J53" s="23">
        <f t="shared" si="84"/>
        <v>0.57291666666666663</v>
      </c>
      <c r="K53" s="30">
        <f>(G53-C53)+TrCeib118[[#This Row],[Tt_tex]]</f>
        <v>4.2361111111111072E-2</v>
      </c>
      <c r="L53" s="30">
        <f>SUMIF(B$4:$B53,TrCeib118[[#This Row],[BUS]],$K$4:K53)</f>
        <v>0.1694444444444444</v>
      </c>
      <c r="M53" s="23">
        <f>_xlfn.IFNA(VLOOKUP(TrCeib118[[#This Row],[BUS]],_xlfn._xlws.SORT(VeredaTr129[[BUS]:[T2]],11,-1,FALSE),11,FALSE),0)</f>
        <v>0.22083333333333321</v>
      </c>
      <c r="N53" s="23">
        <f>+TrCeib118[[#This Row],[∑TrCeib]]+TrCeib118[[#This Row],[T2]]</f>
        <v>0.39027777777777761</v>
      </c>
      <c r="O53" s="23"/>
      <c r="P53"/>
      <c r="Q53"/>
      <c r="S53" s="28">
        <v>14</v>
      </c>
      <c r="T53" s="23">
        <v>0.57777777777777772</v>
      </c>
      <c r="U53" s="23">
        <f t="shared" si="81"/>
        <v>6.9444444444444198E-3</v>
      </c>
      <c r="V53" s="23">
        <f>VLOOKUP(VeredaTr129[[#This Row],[HORA]],'OFERTA (3)'!B:F,5,TRUE)</f>
        <v>6.9444444444444441E-3</v>
      </c>
      <c r="W53" s="23">
        <f t="shared" si="9"/>
        <v>3.6805555555555557E-2</v>
      </c>
      <c r="X53" s="23">
        <f t="shared" si="82"/>
        <v>0.61458333333333326</v>
      </c>
      <c r="Y53" s="23">
        <f t="shared" si="83"/>
        <v>0</v>
      </c>
      <c r="Z53" s="23">
        <v>2.4999999999999911E-2</v>
      </c>
      <c r="AA53" s="23">
        <f t="shared" si="3"/>
        <v>0.57777777777777772</v>
      </c>
      <c r="AB53" s="30">
        <f t="shared" si="12"/>
        <v>3.6805555555555536E-2</v>
      </c>
      <c r="AC53" s="30">
        <f>SUMIF($S$4:S95,S53,$AB$4:AB95)</f>
        <v>0.22083333333333327</v>
      </c>
      <c r="AD53" s="23">
        <f>_xlfn.IFNA(VLOOKUP(VeredaTr129[[#This Row],[BUS]],_xlfn._xlws.SORT(TrCeib118[[BUS]:[T2]],11,-1,FALSE),11,FALSE),0)</f>
        <v>0.25416666666666654</v>
      </c>
      <c r="AE53" s="23">
        <f>+VeredaTr129[[#This Row],[∑VeredaTr]]+VeredaTr129[[#This Row],[T2]]</f>
        <v>0.47499999999999981</v>
      </c>
    </row>
    <row r="54" spans="1:31" x14ac:dyDescent="0.35">
      <c r="A54" t="s">
        <v>70</v>
      </c>
      <c r="B54" s="28">
        <v>12</v>
      </c>
      <c r="C54" s="23">
        <v>0.57986111111111105</v>
      </c>
      <c r="D54" s="23">
        <f t="shared" si="75"/>
        <v>6.9444444444444198E-3</v>
      </c>
      <c r="E54" s="23">
        <f>VLOOKUP(TrCeib118[[#This Row],[HORA]],'OFERTA (3)'!I:M,5,TRUE)</f>
        <v>6.9444444444444441E-3</v>
      </c>
      <c r="F54" s="23">
        <f t="shared" si="0"/>
        <v>4.2361111111111106E-2</v>
      </c>
      <c r="G54" s="23">
        <f t="shared" si="76"/>
        <v>0.62222222222222212</v>
      </c>
      <c r="H54" s="23">
        <f t="shared" si="77"/>
        <v>0</v>
      </c>
      <c r="I54" s="23"/>
      <c r="J54" s="23">
        <f t="shared" si="84"/>
        <v>0.57986111111111105</v>
      </c>
      <c r="K54" s="30">
        <f>(G54-C54)+TrCeib118[[#This Row],[Tt_tex]]</f>
        <v>4.2361111111111072E-2</v>
      </c>
      <c r="L54" s="30">
        <f>SUMIF(B$4:$B54,TrCeib118[[#This Row],[BUS]],$K$4:K54)</f>
        <v>0.16944444444444445</v>
      </c>
      <c r="M54" s="23">
        <f>_xlfn.IFNA(VLOOKUP(TrCeib118[[#This Row],[BUS]],_xlfn._xlws.SORT(VeredaTr129[[BUS]:[T2]],11,-1,FALSE),11,FALSE),0)</f>
        <v>0.22083333333333321</v>
      </c>
      <c r="N54" s="23">
        <f>+TrCeib118[[#This Row],[∑TrCeib]]+TrCeib118[[#This Row],[T2]]</f>
        <v>0.39027777777777767</v>
      </c>
      <c r="O54" s="23"/>
      <c r="P54"/>
      <c r="Q54"/>
      <c r="S54" s="28">
        <v>15</v>
      </c>
      <c r="T54" s="23">
        <v>0.58472222222222214</v>
      </c>
      <c r="U54" s="23">
        <f t="shared" si="81"/>
        <v>6.9444444444444198E-3</v>
      </c>
      <c r="V54" s="23">
        <f>VLOOKUP(VeredaTr129[[#This Row],[HORA]],'OFERTA (3)'!B:F,5,TRUE)</f>
        <v>6.9444444444444441E-3</v>
      </c>
      <c r="W54" s="23">
        <f t="shared" si="9"/>
        <v>3.6805555555555557E-2</v>
      </c>
      <c r="X54" s="23">
        <f t="shared" si="82"/>
        <v>0.62152777777777768</v>
      </c>
      <c r="Y54" s="23">
        <f t="shared" si="83"/>
        <v>0</v>
      </c>
      <c r="Z54" s="23">
        <v>2.4999999999999911E-2</v>
      </c>
      <c r="AA54" s="23">
        <f t="shared" ref="AA54:AA59" si="85">+T54+Y54</f>
        <v>0.58472222222222214</v>
      </c>
      <c r="AB54" s="30">
        <f t="shared" ref="AB54:AB59" si="86">(X54-T54)</f>
        <v>3.6805555555555536E-2</v>
      </c>
      <c r="AC54" s="30">
        <f>SUMIF($S$4:S54,S54,$AB$4:AB54)</f>
        <v>0.1472222222222222</v>
      </c>
      <c r="AD54" s="23">
        <f>_xlfn.IFNA(VLOOKUP(VeredaTr129[[#This Row],[BUS]],_xlfn._xlws.SORT(TrCeib118[[BUS]:[T2]],11,-1,FALSE),11,FALSE),0)</f>
        <v>0.1694444444444444</v>
      </c>
      <c r="AE54" s="23">
        <f>+VeredaTr129[[#This Row],[∑VeredaTr]]+VeredaTr129[[#This Row],[T2]]</f>
        <v>0.3166666666666666</v>
      </c>
    </row>
    <row r="55" spans="1:31" x14ac:dyDescent="0.35">
      <c r="B55" s="28">
        <v>6</v>
      </c>
      <c r="C55" s="23">
        <v>0.58680555555555547</v>
      </c>
      <c r="D55" s="23">
        <f t="shared" si="75"/>
        <v>6.9444444444444198E-3</v>
      </c>
      <c r="E55" s="23">
        <f>VLOOKUP(TrCeib118[[#This Row],[HORA]],'OFERTA (3)'!I:M,5,TRUE)</f>
        <v>6.9444444444444441E-3</v>
      </c>
      <c r="F55" s="23">
        <f t="shared" si="0"/>
        <v>4.2361111111111106E-2</v>
      </c>
      <c r="G55" s="23">
        <f t="shared" si="76"/>
        <v>0.62916666666666654</v>
      </c>
      <c r="H55" s="23">
        <f t="shared" si="77"/>
        <v>0</v>
      </c>
      <c r="I55" s="23"/>
      <c r="J55" s="23">
        <f t="shared" si="84"/>
        <v>0.58680555555555547</v>
      </c>
      <c r="K55" s="30">
        <f>(G55-C55)+TrCeib118[[#This Row],[Tt_tex]]</f>
        <v>4.2361111111111072E-2</v>
      </c>
      <c r="L55" s="30">
        <f>SUMIF(B$4:$B55,TrCeib118[[#This Row],[BUS]],$K$4:K55)</f>
        <v>0.12708333333333333</v>
      </c>
      <c r="M55" s="23">
        <f>_xlfn.IFNA(VLOOKUP(TrCeib118[[#This Row],[BUS]],_xlfn._xlws.SORT(VeredaTr129[[BUS]:[T2]],11,-1,FALSE),11,FALSE),0)</f>
        <v>0.18402777777777771</v>
      </c>
      <c r="N55" s="23">
        <f>+TrCeib118[[#This Row],[∑TrCeib]]+TrCeib118[[#This Row],[T2]]</f>
        <v>0.31111111111111101</v>
      </c>
      <c r="O55" s="23"/>
      <c r="P55"/>
      <c r="Q55"/>
      <c r="S55" s="28">
        <v>17</v>
      </c>
      <c r="T55" s="23">
        <v>0.59166666666666656</v>
      </c>
      <c r="U55" s="23">
        <f t="shared" si="81"/>
        <v>6.9444444444444198E-3</v>
      </c>
      <c r="V55" s="23">
        <f>VLOOKUP(VeredaTr129[[#This Row],[HORA]],'OFERTA (3)'!B:F,5,TRUE)</f>
        <v>6.9444444444444441E-3</v>
      </c>
      <c r="W55" s="23">
        <f t="shared" si="9"/>
        <v>3.6805555555555557E-2</v>
      </c>
      <c r="X55" s="23">
        <f t="shared" si="82"/>
        <v>0.6284722222222221</v>
      </c>
      <c r="Y55" s="23">
        <f t="shared" si="83"/>
        <v>0</v>
      </c>
      <c r="Z55" s="23">
        <v>2.4999999999999911E-2</v>
      </c>
      <c r="AA55" s="23">
        <f t="shared" si="85"/>
        <v>0.59166666666666656</v>
      </c>
      <c r="AB55" s="30">
        <f t="shared" si="86"/>
        <v>3.6805555555555536E-2</v>
      </c>
      <c r="AC55" s="30">
        <f>SUMIF($S$4:S55,S55,$AB$4:AB55)</f>
        <v>7.3611111111111127E-2</v>
      </c>
      <c r="AD55" s="23">
        <f>_xlfn.IFNA(VLOOKUP(VeredaTr129[[#This Row],[BUS]],_xlfn._xlws.SORT(TrCeib118[[BUS]:[T2]],11,-1,FALSE),11,FALSE),0)</f>
        <v>0.16944444444444429</v>
      </c>
      <c r="AE55" s="23">
        <f>+VeredaTr129[[#This Row],[∑VeredaTr]]+VeredaTr129[[#This Row],[T2]]</f>
        <v>0.24305555555555541</v>
      </c>
    </row>
    <row r="56" spans="1:31" x14ac:dyDescent="0.35">
      <c r="B56" s="28">
        <v>1</v>
      </c>
      <c r="C56" s="23">
        <v>0.59375</v>
      </c>
      <c r="D56" s="23">
        <f t="shared" si="75"/>
        <v>6.9444444444445308E-3</v>
      </c>
      <c r="E56" s="23">
        <f>VLOOKUP(TrCeib118[[#This Row],[HORA]],'OFERTA (3)'!I:M,5,TRUE)</f>
        <v>6.9444444444444441E-3</v>
      </c>
      <c r="F56" s="23">
        <f t="shared" si="0"/>
        <v>4.2361111111111106E-2</v>
      </c>
      <c r="G56" s="23">
        <f t="shared" si="76"/>
        <v>0.63611111111111107</v>
      </c>
      <c r="H56" s="23">
        <f t="shared" si="77"/>
        <v>0</v>
      </c>
      <c r="I56" s="23"/>
      <c r="J56" s="23">
        <f t="shared" si="84"/>
        <v>0.59375</v>
      </c>
      <c r="K56" s="30">
        <f>(G56-C56)+TrCeib118[[#This Row],[Tt_tex]]</f>
        <v>4.2361111111111072E-2</v>
      </c>
      <c r="L56" s="30">
        <f>SUMIF(B$4:$B56,TrCeib118[[#This Row],[BUS]],$K$4:K56)</f>
        <v>0.16944444444444445</v>
      </c>
      <c r="M56" s="23">
        <f>_xlfn.IFNA(VLOOKUP(TrCeib118[[#This Row],[BUS]],_xlfn._xlws.SORT(VeredaTr129[[BUS]:[T2]],11,-1,FALSE),11,FALSE),0)</f>
        <v>0.18402777777777768</v>
      </c>
      <c r="N56" s="23">
        <f>+TrCeib118[[#This Row],[∑TrCeib]]+TrCeib118[[#This Row],[T2]]</f>
        <v>0.35347222222222213</v>
      </c>
      <c r="O56" s="23"/>
      <c r="P56"/>
      <c r="Q56"/>
      <c r="S56" s="28">
        <v>18</v>
      </c>
      <c r="T56" s="23">
        <v>0.59861111111111098</v>
      </c>
      <c r="U56" s="23">
        <f t="shared" ref="U56:U59" si="87">T56-T55</f>
        <v>6.9444444444444198E-3</v>
      </c>
      <c r="V56" s="23">
        <f>VLOOKUP(VeredaTr129[[#This Row],[HORA]],'OFERTA (3)'!B:F,5,TRUE)</f>
        <v>6.9444444444444441E-3</v>
      </c>
      <c r="W56" s="23">
        <f t="shared" si="9"/>
        <v>3.6805555555555557E-2</v>
      </c>
      <c r="X56" s="23">
        <f t="shared" ref="X56:X59" si="88">+T56+W56</f>
        <v>0.63541666666666652</v>
      </c>
      <c r="Y56" s="23">
        <f t="shared" ref="Y56:Y64" si="89">+(T55+V56)-T56</f>
        <v>0</v>
      </c>
      <c r="Z56" s="23">
        <v>2.4999999999999911E-2</v>
      </c>
      <c r="AA56" s="23">
        <f t="shared" si="85"/>
        <v>0.59861111111111098</v>
      </c>
      <c r="AB56" s="30">
        <f t="shared" si="86"/>
        <v>3.6805555555555536E-2</v>
      </c>
      <c r="AC56" s="30">
        <f>SUMIF($S$4:S56,S56,$AB$4:AB56)</f>
        <v>7.3611111111111072E-2</v>
      </c>
      <c r="AD56" s="23">
        <f>_xlfn.IFNA(VLOOKUP(VeredaTr129[[#This Row],[BUS]],_xlfn._xlws.SORT(TrCeib118[[BUS]:[T2]],11,-1,FALSE),11,FALSE),0)</f>
        <v>0.16944444444444429</v>
      </c>
      <c r="AE56" s="23">
        <f>+VeredaTr129[[#This Row],[∑VeredaTr]]+VeredaTr129[[#This Row],[T2]]</f>
        <v>0.24305555555555536</v>
      </c>
    </row>
    <row r="57" spans="1:31" x14ac:dyDescent="0.35">
      <c r="B57" s="28">
        <v>16</v>
      </c>
      <c r="C57" s="23">
        <v>0.60069444444444442</v>
      </c>
      <c r="D57" s="23">
        <f t="shared" si="75"/>
        <v>6.9444444444444198E-3</v>
      </c>
      <c r="E57" s="23">
        <f>VLOOKUP(TrCeib118[[#This Row],[HORA]],'OFERTA (3)'!I:M,5,TRUE)</f>
        <v>6.9444444444444441E-3</v>
      </c>
      <c r="F57" s="23">
        <f t="shared" si="0"/>
        <v>4.2361111111111106E-2</v>
      </c>
      <c r="G57" s="23">
        <f t="shared" si="76"/>
        <v>0.64305555555555549</v>
      </c>
      <c r="H57" s="23">
        <f t="shared" si="77"/>
        <v>0</v>
      </c>
      <c r="I57" s="23"/>
      <c r="J57" s="23">
        <f t="shared" si="84"/>
        <v>0.60069444444444442</v>
      </c>
      <c r="K57" s="30">
        <f>(G57-C57)+TrCeib118[[#This Row],[Tt_tex]]</f>
        <v>4.2361111111111072E-2</v>
      </c>
      <c r="L57" s="30">
        <f>SUMIF(B$4:$B57,TrCeib118[[#This Row],[BUS]],$K$4:K57)</f>
        <v>8.4722222222222199E-2</v>
      </c>
      <c r="M57" s="23">
        <f>_xlfn.IFNA(VLOOKUP(TrCeib118[[#This Row],[BUS]],_xlfn._xlws.SORT(VeredaTr129[[BUS]:[T2]],11,-1,FALSE),11,FALSE),0)</f>
        <v>0.14722222222222214</v>
      </c>
      <c r="N57" s="23">
        <f>+TrCeib118[[#This Row],[∑TrCeib]]+TrCeib118[[#This Row],[T2]]</f>
        <v>0.23194444444444434</v>
      </c>
      <c r="O57" s="23"/>
      <c r="P57"/>
      <c r="Q57"/>
      <c r="S57" s="28">
        <v>7</v>
      </c>
      <c r="T57" s="23">
        <v>0.6055555555555554</v>
      </c>
      <c r="U57" s="23">
        <f t="shared" si="87"/>
        <v>6.9444444444444198E-3</v>
      </c>
      <c r="V57" s="23">
        <f>VLOOKUP(VeredaTr129[[#This Row],[HORA]],'OFERTA (3)'!B:F,5,TRUE)</f>
        <v>6.9444444444444441E-3</v>
      </c>
      <c r="W57" s="23">
        <f t="shared" si="9"/>
        <v>3.6805555555555557E-2</v>
      </c>
      <c r="X57" s="23">
        <f t="shared" si="88"/>
        <v>0.64236111111111094</v>
      </c>
      <c r="Y57" s="23">
        <f t="shared" si="89"/>
        <v>0</v>
      </c>
      <c r="Z57" s="23">
        <v>2.4999999999999911E-2</v>
      </c>
      <c r="AA57" s="23">
        <f t="shared" si="85"/>
        <v>0.6055555555555554</v>
      </c>
      <c r="AB57" s="30">
        <f t="shared" si="86"/>
        <v>3.6805555555555536E-2</v>
      </c>
      <c r="AC57" s="30">
        <f>SUMIF($S$4:S57,S57,$AB$4:AB57)</f>
        <v>0.14722222222222217</v>
      </c>
      <c r="AD57" s="23">
        <f>_xlfn.IFNA(VLOOKUP(VeredaTr129[[#This Row],[BUS]],_xlfn._xlws.SORT(TrCeib118[[BUS]:[T2]],11,-1,FALSE),11,FALSE),0)</f>
        <v>0.25416666666666654</v>
      </c>
      <c r="AE57" s="23">
        <f>+VeredaTr129[[#This Row],[∑VeredaTr]]+VeredaTr129[[#This Row],[T2]]</f>
        <v>0.40138888888888868</v>
      </c>
    </row>
    <row r="58" spans="1:31" x14ac:dyDescent="0.35">
      <c r="A58" t="s">
        <v>70</v>
      </c>
      <c r="B58" s="28">
        <v>13</v>
      </c>
      <c r="C58" s="23">
        <v>0.60763888888888884</v>
      </c>
      <c r="D58" s="23">
        <f t="shared" si="75"/>
        <v>6.9444444444444198E-3</v>
      </c>
      <c r="E58" s="23">
        <f>VLOOKUP(TrCeib118[[#This Row],[HORA]],'OFERTA (3)'!I:M,5,TRUE)</f>
        <v>1.0416666666666666E-2</v>
      </c>
      <c r="F58" s="23">
        <f t="shared" si="0"/>
        <v>4.2361111111111106E-2</v>
      </c>
      <c r="G58" s="23">
        <f t="shared" si="76"/>
        <v>0.64999999999999991</v>
      </c>
      <c r="H58" s="23">
        <f t="shared" si="77"/>
        <v>3.4722222222222099E-3</v>
      </c>
      <c r="I58" s="23"/>
      <c r="J58" s="23">
        <f t="shared" si="84"/>
        <v>0.61111111111111105</v>
      </c>
      <c r="K58" s="30">
        <f>(G58-C58)+TrCeib118[[#This Row],[Tt_tex]]</f>
        <v>4.2361111111111072E-2</v>
      </c>
      <c r="L58" s="30">
        <f>SUMIF(B$4:$B58,TrCeib118[[#This Row],[BUS]],$K$4:K58)</f>
        <v>0.1694444444444444</v>
      </c>
      <c r="M58" s="23">
        <f>_xlfn.IFNA(VLOOKUP(TrCeib118[[#This Row],[BUS]],_xlfn._xlws.SORT(VeredaTr129[[BUS]:[T2]],11,-1,FALSE),11,FALSE),0)</f>
        <v>0.22083333333333321</v>
      </c>
      <c r="N58" s="23">
        <f>+TrCeib118[[#This Row],[∑TrCeib]]+TrCeib118[[#This Row],[T2]]</f>
        <v>0.39027777777777761</v>
      </c>
      <c r="O58" s="23"/>
      <c r="P58"/>
      <c r="Q58"/>
      <c r="S58" s="28">
        <v>5</v>
      </c>
      <c r="T58" s="23">
        <v>0.61249999999999982</v>
      </c>
      <c r="U58" s="23">
        <f t="shared" si="87"/>
        <v>6.9444444444444198E-3</v>
      </c>
      <c r="V58" s="23">
        <f>VLOOKUP(VeredaTr129[[#This Row],[HORA]],'OFERTA (3)'!B:F,5,TRUE)</f>
        <v>6.9444444444444441E-3</v>
      </c>
      <c r="W58" s="23">
        <f t="shared" si="9"/>
        <v>3.6805555555555557E-2</v>
      </c>
      <c r="X58" s="23">
        <f t="shared" si="88"/>
        <v>0.64930555555555536</v>
      </c>
      <c r="Y58" s="23">
        <f t="shared" si="89"/>
        <v>0</v>
      </c>
      <c r="Z58" s="23">
        <v>2.4999999999999911E-2</v>
      </c>
      <c r="AA58" s="23">
        <f t="shared" si="85"/>
        <v>0.61249999999999982</v>
      </c>
      <c r="AB58" s="30">
        <f t="shared" si="86"/>
        <v>3.6805555555555536E-2</v>
      </c>
      <c r="AC58" s="30">
        <f>SUMIF($S$4:S58,S58,$AB$4:AB58)</f>
        <v>0.18402777777777768</v>
      </c>
      <c r="AD58" s="23">
        <f>_xlfn.IFNA(VLOOKUP(VeredaTr129[[#This Row],[BUS]],_xlfn._xlws.SORT(TrCeib118[[BUS]:[T2]],11,-1,FALSE),11,FALSE),0)</f>
        <v>0.1694444444444444</v>
      </c>
      <c r="AE58" s="23">
        <f>+VeredaTr129[[#This Row],[∑VeredaTr]]+VeredaTr129[[#This Row],[T2]]</f>
        <v>0.35347222222222208</v>
      </c>
    </row>
    <row r="59" spans="1:31" x14ac:dyDescent="0.35">
      <c r="B59" s="28">
        <v>14</v>
      </c>
      <c r="C59" s="23">
        <v>0.61458333333333326</v>
      </c>
      <c r="D59" s="23">
        <f t="shared" si="75"/>
        <v>6.9444444444444198E-3</v>
      </c>
      <c r="E59" s="23">
        <f>VLOOKUP(TrCeib118[[#This Row],[HORA]],'OFERTA (3)'!I:M,5,TRUE)</f>
        <v>1.0416666666666666E-2</v>
      </c>
      <c r="F59" s="23">
        <f t="shared" si="0"/>
        <v>4.2361111111111106E-2</v>
      </c>
      <c r="G59" s="23">
        <f t="shared" si="76"/>
        <v>0.65694444444444433</v>
      </c>
      <c r="H59" s="23">
        <f t="shared" si="77"/>
        <v>3.4722222222222099E-3</v>
      </c>
      <c r="I59" s="23"/>
      <c r="J59" s="23">
        <f t="shared" si="84"/>
        <v>0.61805555555555547</v>
      </c>
      <c r="K59" s="30">
        <f>(G59-C59)+TrCeib118[[#This Row],[Tt_tex]]</f>
        <v>4.2361111111111072E-2</v>
      </c>
      <c r="L59" s="30">
        <f>SUMIF(B$4:$B59,TrCeib118[[#This Row],[BUS]],$K$4:K59)</f>
        <v>0.1694444444444444</v>
      </c>
      <c r="M59" s="23">
        <f>_xlfn.IFNA(VLOOKUP(TrCeib118[[#This Row],[BUS]],_xlfn._xlws.SORT(VeredaTr129[[BUS]:[T2]],11,-1,FALSE),11,FALSE),0)</f>
        <v>0.22083333333333327</v>
      </c>
      <c r="N59" s="23">
        <f>+TrCeib118[[#This Row],[∑TrCeib]]+TrCeib118[[#This Row],[T2]]</f>
        <v>0.39027777777777767</v>
      </c>
      <c r="O59" s="23"/>
      <c r="P59"/>
      <c r="Q59"/>
      <c r="S59" s="28">
        <v>8</v>
      </c>
      <c r="T59" s="23">
        <v>0.61944444444444424</v>
      </c>
      <c r="U59" s="23">
        <f t="shared" si="87"/>
        <v>6.9444444444444198E-3</v>
      </c>
      <c r="V59" s="23">
        <f>VLOOKUP(VeredaTr129[[#This Row],[HORA]],'OFERTA (3)'!B:F,5,TRUE)</f>
        <v>6.9444444444444441E-3</v>
      </c>
      <c r="W59" s="23">
        <f t="shared" si="9"/>
        <v>3.6805555555555557E-2</v>
      </c>
      <c r="X59" s="23">
        <f t="shared" si="88"/>
        <v>0.65624999999999978</v>
      </c>
      <c r="Y59" s="23">
        <f t="shared" si="89"/>
        <v>0</v>
      </c>
      <c r="Z59" s="23">
        <v>2.49999999999998E-2</v>
      </c>
      <c r="AA59" s="23">
        <f t="shared" si="85"/>
        <v>0.61944444444444424</v>
      </c>
      <c r="AB59" s="30">
        <f t="shared" si="86"/>
        <v>3.6805555555555536E-2</v>
      </c>
      <c r="AC59" s="30">
        <f>SUMIF($S$4:S59,S59,$AB$4:AB59)</f>
        <v>0.14722222222222214</v>
      </c>
      <c r="AD59" s="23">
        <f>_xlfn.IFNA(VLOOKUP(VeredaTr129[[#This Row],[BUS]],_xlfn._xlws.SORT(TrCeib118[[BUS]:[T2]],11,-1,FALSE),11,FALSE),0)</f>
        <v>0.25416666666666654</v>
      </c>
      <c r="AE59" s="23">
        <f>+VeredaTr129[[#This Row],[∑VeredaTr]]+VeredaTr129[[#This Row],[T2]]</f>
        <v>0.40138888888888868</v>
      </c>
    </row>
    <row r="60" spans="1:31" x14ac:dyDescent="0.35">
      <c r="A60" t="s">
        <v>70</v>
      </c>
      <c r="B60" s="28">
        <v>15</v>
      </c>
      <c r="C60" s="23">
        <v>0.62152777777777768</v>
      </c>
      <c r="D60" s="23">
        <f t="shared" si="75"/>
        <v>6.9444444444444198E-3</v>
      </c>
      <c r="E60" s="23">
        <f>VLOOKUP(TrCeib118[[#This Row],[HORA]],'OFERTA (3)'!I:M,5,TRUE)</f>
        <v>1.0416666666666666E-2</v>
      </c>
      <c r="F60" s="23">
        <f t="shared" si="0"/>
        <v>4.2361111111111106E-2</v>
      </c>
      <c r="G60" s="23">
        <f t="shared" si="76"/>
        <v>0.66388888888888875</v>
      </c>
      <c r="H60" s="23">
        <f t="shared" si="77"/>
        <v>3.4722222222222099E-3</v>
      </c>
      <c r="I60" s="23"/>
      <c r="J60" s="23">
        <f t="shared" si="84"/>
        <v>0.62499999999999989</v>
      </c>
      <c r="K60" s="30">
        <f>(G60-C60)+TrCeib118[[#This Row],[Tt_tex]]</f>
        <v>4.2361111111111072E-2</v>
      </c>
      <c r="L60" s="30">
        <f>SUMIF(B$4:$B60,TrCeib118[[#This Row],[BUS]],$K$4:K60)</f>
        <v>0.1694444444444444</v>
      </c>
      <c r="M60" s="23">
        <f>_xlfn.IFNA(VLOOKUP(TrCeib118[[#This Row],[BUS]],_xlfn._xlws.SORT(VeredaTr129[[BUS]:[T2]],11,-1,FALSE),11,FALSE),0)</f>
        <v>0.1472222222222222</v>
      </c>
      <c r="N60" s="23">
        <f>+TrCeib118[[#This Row],[∑TrCeib]]+TrCeib118[[#This Row],[T2]]</f>
        <v>0.3166666666666666</v>
      </c>
      <c r="O60" s="23"/>
      <c r="P60"/>
      <c r="Q60"/>
      <c r="R60" t="s">
        <v>63</v>
      </c>
      <c r="S60" s="28">
        <v>2</v>
      </c>
      <c r="T60" s="23">
        <v>0.62638888888888866</v>
      </c>
      <c r="U60" s="23">
        <f t="shared" ref="U60:U65" si="90">T60-T59</f>
        <v>6.9444444444444198E-3</v>
      </c>
      <c r="V60" s="23">
        <f>VLOOKUP(VeredaTr129[[#This Row],[HORA]],'OFERTA (3)'!B:F,5,TRUE)</f>
        <v>6.9444444444444441E-3</v>
      </c>
      <c r="W60" s="23">
        <f t="shared" si="9"/>
        <v>3.6805555555555557E-2</v>
      </c>
      <c r="X60" s="23">
        <f t="shared" ref="X60:X64" si="91">+T60+W60</f>
        <v>0.6631944444444442</v>
      </c>
      <c r="Y60" s="23">
        <f t="shared" si="89"/>
        <v>0</v>
      </c>
      <c r="Z60" s="23"/>
      <c r="AA60" s="23">
        <f>+T60+Y60</f>
        <v>0.62638888888888866</v>
      </c>
      <c r="AB60" s="30">
        <f>(X60-T60)</f>
        <v>3.6805555555555536E-2</v>
      </c>
      <c r="AC60" s="30">
        <f>SUMIF($S$4:S60,S60,$AB$4:AB60)</f>
        <v>0.11041666666666661</v>
      </c>
      <c r="AD60" s="23">
        <f>_xlfn.IFNA(VLOOKUP(VeredaTr129[[#This Row],[BUS]],_xlfn._xlws.SORT(TrCeib118[[BUS]:[T2]],11,-1,FALSE),11,FALSE),0)</f>
        <v>0.25416666666666654</v>
      </c>
      <c r="AE60" s="23">
        <f>+VeredaTr129[[#This Row],[∑VeredaTr]]+VeredaTr129[[#This Row],[T2]]</f>
        <v>0.36458333333333315</v>
      </c>
    </row>
    <row r="61" spans="1:31" x14ac:dyDescent="0.35">
      <c r="B61" s="28">
        <v>17</v>
      </c>
      <c r="C61" s="23">
        <v>0.6284722222222221</v>
      </c>
      <c r="D61" s="23">
        <f t="shared" si="75"/>
        <v>6.9444444444444198E-3</v>
      </c>
      <c r="E61" s="23">
        <f>VLOOKUP(TrCeib118[[#This Row],[HORA]],'OFERTA (3)'!I:M,5,TRUE)</f>
        <v>1.0416666666666666E-2</v>
      </c>
      <c r="F61" s="23">
        <f t="shared" si="0"/>
        <v>4.2361111111111106E-2</v>
      </c>
      <c r="G61" s="23">
        <f t="shared" si="76"/>
        <v>0.67083333333333317</v>
      </c>
      <c r="H61" s="23">
        <f t="shared" si="77"/>
        <v>3.4722222222222099E-3</v>
      </c>
      <c r="I61" s="23"/>
      <c r="J61" s="23">
        <f t="shared" si="84"/>
        <v>0.63194444444444431</v>
      </c>
      <c r="K61" s="30">
        <f>(G61-C61)+TrCeib118[[#This Row],[Tt_tex]]</f>
        <v>4.2361111111111072E-2</v>
      </c>
      <c r="L61" s="30">
        <f>SUMIF(B$4:$B98,TrCeib118[[#This Row],[BUS]],$K$4:K98)</f>
        <v>0.16944444444444429</v>
      </c>
      <c r="M61" s="23">
        <f>_xlfn.IFNA(VLOOKUP(TrCeib118[[#This Row],[BUS]],_xlfn._xlws.SORT(VeredaTr129[[BUS]:[T2]],11,-1,FALSE),11,FALSE),0)</f>
        <v>0.1472222222222222</v>
      </c>
      <c r="N61" s="23">
        <f>+TrCeib118[[#This Row],[∑TrCeib]]+TrCeib118[[#This Row],[T2]]</f>
        <v>0.31666666666666649</v>
      </c>
      <c r="O61" s="23"/>
      <c r="P61"/>
      <c r="Q61"/>
      <c r="S61" s="28">
        <v>6</v>
      </c>
      <c r="T61" s="23">
        <v>0.63333333333333308</v>
      </c>
      <c r="U61" s="23">
        <f t="shared" si="90"/>
        <v>6.9444444444444198E-3</v>
      </c>
      <c r="V61" s="23">
        <f>VLOOKUP(VeredaTr129[[#This Row],[HORA]],'OFERTA (3)'!B:F,5,TRUE)</f>
        <v>6.9444444444444441E-3</v>
      </c>
      <c r="W61" s="23">
        <f t="shared" si="9"/>
        <v>3.6805555555555557E-2</v>
      </c>
      <c r="X61" s="23">
        <f t="shared" si="91"/>
        <v>0.67013888888888862</v>
      </c>
      <c r="Y61" s="23">
        <f t="shared" si="89"/>
        <v>0</v>
      </c>
      <c r="Z61" s="23">
        <v>4.1666666666665408E-3</v>
      </c>
      <c r="AA61" s="23">
        <f t="shared" ref="AA61:AA63" si="92">+T61+Y61</f>
        <v>0.63333333333333308</v>
      </c>
      <c r="AB61" s="30">
        <f t="shared" ref="AB61:AB63" si="93">(X61-T61)</f>
        <v>3.6805555555555536E-2</v>
      </c>
      <c r="AC61" s="30">
        <f>SUMIF($S$4:S61,S61,$AB$4:AB61)</f>
        <v>0.18402777777777771</v>
      </c>
      <c r="AD61" s="23">
        <f>_xlfn.IFNA(VLOOKUP(VeredaTr129[[#This Row],[BUS]],_xlfn._xlws.SORT(TrCeib118[[BUS]:[T2]],11,-1,FALSE),11,FALSE),0)</f>
        <v>0.1694444444444444</v>
      </c>
      <c r="AE61" s="23">
        <f>+VeredaTr129[[#This Row],[∑VeredaTr]]+VeredaTr129[[#This Row],[T2]]</f>
        <v>0.35347222222222208</v>
      </c>
    </row>
    <row r="62" spans="1:31" x14ac:dyDescent="0.35">
      <c r="B62" s="28">
        <v>18</v>
      </c>
      <c r="C62" s="23">
        <v>0.63541666666666652</v>
      </c>
      <c r="D62" s="23">
        <f t="shared" ref="D62:D71" si="94">C62-C61</f>
        <v>6.9444444444444198E-3</v>
      </c>
      <c r="E62" s="23">
        <f>VLOOKUP(TrCeib118[[#This Row],[HORA]],'OFERTA (3)'!I:M,5,TRUE)</f>
        <v>1.0416666666666666E-2</v>
      </c>
      <c r="F62" s="23">
        <f t="shared" si="0"/>
        <v>4.2361111111111106E-2</v>
      </c>
      <c r="G62" s="23">
        <f t="shared" ref="G62:G71" si="95">C62+F62</f>
        <v>0.67777777777777759</v>
      </c>
      <c r="H62" s="23">
        <f t="shared" ref="H62:H71" si="96">+(C61+E62)-C62</f>
        <v>3.4722222222222099E-3</v>
      </c>
      <c r="I62" s="23"/>
      <c r="J62" s="23">
        <f t="shared" ref="J62:J71" si="97">+C62+H62</f>
        <v>0.63888888888888873</v>
      </c>
      <c r="K62" s="30">
        <f>(G62-C62)+TrCeib118[[#This Row],[Tt_tex]]</f>
        <v>4.2361111111111072E-2</v>
      </c>
      <c r="L62" s="30">
        <f>SUMIF(B$4:$B62,TrCeib118[[#This Row],[BUS]],$K$4:K62)</f>
        <v>8.4722222222222143E-2</v>
      </c>
      <c r="M62" s="23">
        <f>_xlfn.IFNA(VLOOKUP(TrCeib118[[#This Row],[BUS]],_xlfn._xlws.SORT(VeredaTr129[[BUS]:[T2]],11,-1,FALSE),11,FALSE),0)</f>
        <v>0.18402777777777768</v>
      </c>
      <c r="N62" s="23">
        <f>+TrCeib118[[#This Row],[∑TrCeib]]+TrCeib118[[#This Row],[T2]]</f>
        <v>0.26874999999999982</v>
      </c>
      <c r="O62" s="23"/>
      <c r="P62"/>
      <c r="Q62"/>
      <c r="S62" s="28">
        <v>1</v>
      </c>
      <c r="T62" s="23">
        <v>0.6402777777777775</v>
      </c>
      <c r="U62" s="23">
        <f t="shared" si="90"/>
        <v>6.9444444444444198E-3</v>
      </c>
      <c r="V62" s="23">
        <f>VLOOKUP(VeredaTr129[[#This Row],[HORA]],'OFERTA (3)'!B:F,5,TRUE)</f>
        <v>6.9444444444444441E-3</v>
      </c>
      <c r="W62" s="23">
        <f t="shared" si="9"/>
        <v>3.6805555555555557E-2</v>
      </c>
      <c r="X62" s="23">
        <f t="shared" si="91"/>
        <v>0.67708333333333304</v>
      </c>
      <c r="Y62" s="23">
        <f t="shared" si="89"/>
        <v>0</v>
      </c>
      <c r="Z62" s="23">
        <v>4.1666666666664298E-3</v>
      </c>
      <c r="AA62" s="23">
        <f t="shared" si="92"/>
        <v>0.6402777777777775</v>
      </c>
      <c r="AB62" s="30">
        <f t="shared" si="93"/>
        <v>3.6805555555555536E-2</v>
      </c>
      <c r="AC62" s="30">
        <f>SUMIF($S$4:S62,S62,$AB$4:AB62)</f>
        <v>0.14722222222222214</v>
      </c>
      <c r="AD62" s="23">
        <f>_xlfn.IFNA(VLOOKUP(VeredaTr129[[#This Row],[BUS]],_xlfn._xlws.SORT(TrCeib118[[BUS]:[T2]],11,-1,FALSE),11,FALSE),0)</f>
        <v>0.2541666666666666</v>
      </c>
      <c r="AE62" s="23">
        <f>+VeredaTr129[[#This Row],[∑VeredaTr]]+VeredaTr129[[#This Row],[T2]]</f>
        <v>0.40138888888888874</v>
      </c>
    </row>
    <row r="63" spans="1:31" x14ac:dyDescent="0.35">
      <c r="B63" s="28">
        <v>7</v>
      </c>
      <c r="C63" s="23">
        <v>0.64236111111111094</v>
      </c>
      <c r="D63" s="23">
        <f t="shared" si="94"/>
        <v>6.9444444444444198E-3</v>
      </c>
      <c r="E63" s="23">
        <f>VLOOKUP(TrCeib118[[#This Row],[HORA]],'OFERTA (3)'!I:M,5,TRUE)</f>
        <v>1.0416666666666666E-2</v>
      </c>
      <c r="F63" s="23">
        <f t="shared" si="0"/>
        <v>4.2361111111111106E-2</v>
      </c>
      <c r="G63" s="23">
        <f t="shared" si="95"/>
        <v>0.68472222222222201</v>
      </c>
      <c r="H63" s="23">
        <f t="shared" si="96"/>
        <v>3.4722222222222099E-3</v>
      </c>
      <c r="I63" s="23"/>
      <c r="J63" s="23">
        <f t="shared" si="97"/>
        <v>0.64583333333333315</v>
      </c>
      <c r="K63" s="30">
        <f>(G63-C63)+TrCeib118[[#This Row],[Tt_tex]]</f>
        <v>4.2361111111111072E-2</v>
      </c>
      <c r="L63" s="30">
        <f>SUMIF(B$4:$B63,TrCeib118[[#This Row],[BUS]],$K$4:K63)</f>
        <v>0.1694444444444444</v>
      </c>
      <c r="M63" s="23">
        <f>_xlfn.IFNA(VLOOKUP(TrCeib118[[#This Row],[BUS]],_xlfn._xlws.SORT(VeredaTr129[[BUS]:[T2]],11,-1,FALSE),11,FALSE),0)</f>
        <v>0.22083333333333324</v>
      </c>
      <c r="N63" s="23">
        <f>+TrCeib118[[#This Row],[∑TrCeib]]+TrCeib118[[#This Row],[T2]]</f>
        <v>0.39027777777777761</v>
      </c>
      <c r="O63" s="23"/>
      <c r="P63"/>
      <c r="Q63"/>
      <c r="S63" s="28">
        <v>16</v>
      </c>
      <c r="T63" s="23">
        <v>0.64722222222222192</v>
      </c>
      <c r="U63" s="23">
        <f t="shared" si="90"/>
        <v>6.9444444444444198E-3</v>
      </c>
      <c r="V63" s="23">
        <f>VLOOKUP(VeredaTr129[[#This Row],[HORA]],'OFERTA (3)'!B:F,5,TRUE)</f>
        <v>6.9444444444444441E-3</v>
      </c>
      <c r="W63" s="23">
        <f t="shared" si="9"/>
        <v>3.6805555555555557E-2</v>
      </c>
      <c r="X63" s="23">
        <f t="shared" si="91"/>
        <v>0.68402777777777746</v>
      </c>
      <c r="Y63" s="23">
        <f t="shared" si="89"/>
        <v>0</v>
      </c>
      <c r="Z63" s="23">
        <v>4.1666666666664298E-3</v>
      </c>
      <c r="AA63" s="23">
        <f t="shared" si="92"/>
        <v>0.64722222222222192</v>
      </c>
      <c r="AB63" s="30">
        <f t="shared" si="93"/>
        <v>3.6805555555555536E-2</v>
      </c>
      <c r="AC63" s="30">
        <f>SUMIF($S$4:S63,S63,$AB$4:AB63)</f>
        <v>0.11041666666666661</v>
      </c>
      <c r="AD63" s="23">
        <f>_xlfn.IFNA(VLOOKUP(VeredaTr129[[#This Row],[BUS]],_xlfn._xlws.SORT(TrCeib118[[BUS]:[T2]],11,-1,FALSE),11,FALSE),0)</f>
        <v>0.16944444444444434</v>
      </c>
      <c r="AE63" s="23">
        <f>+VeredaTr129[[#This Row],[∑VeredaTr]]+VeredaTr129[[#This Row],[T2]]</f>
        <v>0.27986111111111095</v>
      </c>
    </row>
    <row r="64" spans="1:31" x14ac:dyDescent="0.35">
      <c r="A64" t="s">
        <v>70</v>
      </c>
      <c r="B64" s="28">
        <v>5</v>
      </c>
      <c r="C64" s="23">
        <v>0.64930555555555536</v>
      </c>
      <c r="D64" s="23">
        <f t="shared" si="94"/>
        <v>6.9444444444444198E-3</v>
      </c>
      <c r="E64" s="23">
        <f>VLOOKUP(TrCeib118[[#This Row],[HORA]],'OFERTA (3)'!I:M,5,TRUE)</f>
        <v>1.0416666666666666E-2</v>
      </c>
      <c r="F64" s="23">
        <f t="shared" si="0"/>
        <v>4.2361111111111106E-2</v>
      </c>
      <c r="G64" s="23">
        <f t="shared" si="95"/>
        <v>0.69166666666666643</v>
      </c>
      <c r="H64" s="23">
        <f t="shared" si="96"/>
        <v>3.4722222222222099E-3</v>
      </c>
      <c r="I64" s="23"/>
      <c r="J64" s="23">
        <f t="shared" si="97"/>
        <v>0.65277777777777757</v>
      </c>
      <c r="K64" s="30">
        <f>(G64-C64)+TrCeib118[[#This Row],[Tt_tex]]</f>
        <v>4.2361111111111072E-2</v>
      </c>
      <c r="L64" s="30">
        <f>SUMIF(B$4:$B64,TrCeib118[[#This Row],[BUS]],$K$4:K64)</f>
        <v>0.1694444444444444</v>
      </c>
      <c r="M64" s="23">
        <f>_xlfn.IFNA(VLOOKUP(TrCeib118[[#This Row],[BUS]],_xlfn._xlws.SORT(VeredaTr129[[BUS]:[T2]],11,-1,FALSE),11,FALSE),0)</f>
        <v>0.18402777777777768</v>
      </c>
      <c r="N64" s="23">
        <f>+TrCeib118[[#This Row],[∑TrCeib]]+TrCeib118[[#This Row],[T2]]</f>
        <v>0.35347222222222208</v>
      </c>
      <c r="O64" s="23"/>
      <c r="P64"/>
      <c r="Q64"/>
      <c r="R64" t="s">
        <v>63</v>
      </c>
      <c r="S64" s="28">
        <v>3</v>
      </c>
      <c r="T64" s="23">
        <v>0.65416666666666634</v>
      </c>
      <c r="U64" s="23">
        <f t="shared" si="90"/>
        <v>6.9444444444444198E-3</v>
      </c>
      <c r="V64" s="23">
        <f>VLOOKUP(VeredaTr129[[#This Row],[HORA]],'OFERTA (3)'!B:F,5,TRUE)</f>
        <v>6.9444444444444441E-3</v>
      </c>
      <c r="W64" s="47">
        <v>3.5416666666666666E-2</v>
      </c>
      <c r="X64" s="23">
        <f t="shared" si="91"/>
        <v>0.68958333333333299</v>
      </c>
      <c r="Y64" s="23">
        <f t="shared" si="89"/>
        <v>0</v>
      </c>
      <c r="Z64" s="23">
        <v>4.1666666666663188E-3</v>
      </c>
      <c r="AA64" s="23">
        <f t="shared" ref="AA64:AA79" si="98">+T64+Y64</f>
        <v>0.65416666666666634</v>
      </c>
      <c r="AB64" s="30">
        <f t="shared" ref="AB64:AB79" si="99">(X64-T64)</f>
        <v>3.5416666666666652E-2</v>
      </c>
      <c r="AC64" s="30">
        <f>SUMIF($S$4:S64,S64,$AB$4:AB64)</f>
        <v>0.10902777777777772</v>
      </c>
      <c r="AD64" s="23">
        <f>_xlfn.IFNA(VLOOKUP(VeredaTr129[[#This Row],[BUS]],_xlfn._xlws.SORT(TrCeib118[[BUS]:[T2]],11,-1,FALSE),11,FALSE),0)</f>
        <v>0.25416666666666654</v>
      </c>
      <c r="AE64" s="23">
        <f>+VeredaTr129[[#This Row],[∑VeredaTr]]+VeredaTr129[[#This Row],[T2]]</f>
        <v>0.36319444444444426</v>
      </c>
    </row>
    <row r="65" spans="1:31" x14ac:dyDescent="0.35">
      <c r="B65" s="28">
        <v>8</v>
      </c>
      <c r="C65" s="23">
        <v>0.65624999999999978</v>
      </c>
      <c r="D65" s="23">
        <f t="shared" si="94"/>
        <v>6.9444444444444198E-3</v>
      </c>
      <c r="E65" s="23">
        <f>VLOOKUP(TrCeib118[[#This Row],[HORA]],'OFERTA (3)'!I:M,5,TRUE)</f>
        <v>1.0416666666666666E-2</v>
      </c>
      <c r="F65" s="23">
        <f t="shared" si="0"/>
        <v>4.2361111111111106E-2</v>
      </c>
      <c r="G65" s="23">
        <f t="shared" si="95"/>
        <v>0.69861111111111085</v>
      </c>
      <c r="H65" s="23">
        <f t="shared" si="96"/>
        <v>3.4722222222222099E-3</v>
      </c>
      <c r="I65" s="23"/>
      <c r="J65" s="23">
        <f t="shared" si="97"/>
        <v>0.65972222222222199</v>
      </c>
      <c r="K65" s="30">
        <f>(G65-C65)+TrCeib118[[#This Row],[Tt_tex]]</f>
        <v>4.2361111111111072E-2</v>
      </c>
      <c r="L65" s="30">
        <f>SUMIF(B$4:$B65,TrCeib118[[#This Row],[BUS]],$K$4:K65)</f>
        <v>0.1694444444444444</v>
      </c>
      <c r="M65" s="23">
        <f>_xlfn.IFNA(VLOOKUP(TrCeib118[[#This Row],[BUS]],_xlfn._xlws.SORT(VeredaTr129[[BUS]:[T2]],11,-1,FALSE),11,FALSE),0)</f>
        <v>0.22083333333333321</v>
      </c>
      <c r="N65" s="23">
        <f>+TrCeib118[[#This Row],[∑TrCeib]]+TrCeib118[[#This Row],[T2]]</f>
        <v>0.39027777777777761</v>
      </c>
      <c r="O65" s="23"/>
      <c r="P65" s="40"/>
      <c r="Q65"/>
      <c r="R65" t="s">
        <v>63</v>
      </c>
      <c r="S65" s="28">
        <v>4</v>
      </c>
      <c r="T65" s="23">
        <v>0.66111111111111076</v>
      </c>
      <c r="U65" s="23">
        <f t="shared" si="90"/>
        <v>6.9444444444444198E-3</v>
      </c>
      <c r="V65" s="23">
        <f>VLOOKUP(VeredaTr129[[#This Row],[HORA]],'OFERTA (3)'!B:F,5,TRUE)</f>
        <v>6.9444444444444441E-3</v>
      </c>
      <c r="W65" s="47">
        <v>3.4027777777777775E-2</v>
      </c>
      <c r="X65" s="23">
        <f t="shared" ref="X65" si="100">+T65+W65</f>
        <v>0.69513888888888853</v>
      </c>
      <c r="Y65" s="23">
        <f t="shared" ref="Y65" si="101">+(T64+V65)-T65</f>
        <v>0</v>
      </c>
      <c r="Z65" s="23">
        <v>4.1666666666663188E-3</v>
      </c>
      <c r="AA65" s="23">
        <f t="shared" si="98"/>
        <v>0.66111111111111076</v>
      </c>
      <c r="AB65" s="30">
        <f t="shared" si="99"/>
        <v>3.4027777777777768E-2</v>
      </c>
      <c r="AC65" s="30">
        <f>SUMIF($S$4:S65,S65,$AB$4:AB65)</f>
        <v>0.10763888888888884</v>
      </c>
      <c r="AD65" s="23">
        <f>_xlfn.IFNA(VLOOKUP(VeredaTr129[[#This Row],[BUS]],_xlfn._xlws.SORT(TrCeib118[[BUS]:[T2]],11,-1,FALSE),11,FALSE),0)</f>
        <v>0.21180555555555552</v>
      </c>
      <c r="AE65" s="23">
        <f>+VeredaTr129[[#This Row],[∑VeredaTr]]+VeredaTr129[[#This Row],[T2]]</f>
        <v>0.31944444444444436</v>
      </c>
    </row>
    <row r="66" spans="1:31" x14ac:dyDescent="0.35">
      <c r="B66" s="28">
        <v>2</v>
      </c>
      <c r="C66" s="23">
        <v>0.6631944444444442</v>
      </c>
      <c r="D66" s="23">
        <f t="shared" si="94"/>
        <v>6.9444444444444198E-3</v>
      </c>
      <c r="E66" s="23">
        <f>VLOOKUP(TrCeib118[[#This Row],[HORA]],'OFERTA (3)'!I:M,5,TRUE)</f>
        <v>1.0416666666666666E-2</v>
      </c>
      <c r="F66" s="23">
        <f t="shared" si="0"/>
        <v>4.2361111111111106E-2</v>
      </c>
      <c r="G66" s="23">
        <f t="shared" si="95"/>
        <v>0.70555555555555527</v>
      </c>
      <c r="H66" s="23">
        <f t="shared" si="96"/>
        <v>3.4722222222222099E-3</v>
      </c>
      <c r="I66" s="23"/>
      <c r="J66" s="23">
        <f t="shared" si="97"/>
        <v>0.66666666666666641</v>
      </c>
      <c r="K66" s="30">
        <f>(G66-C66)+TrCeib118[[#This Row],[Tt_tex]]</f>
        <v>4.2361111111111072E-2</v>
      </c>
      <c r="L66" s="30">
        <f>SUMIF(B$4:$B66,TrCeib118[[#This Row],[BUS]],$K$4:K66)</f>
        <v>0.16944444444444443</v>
      </c>
      <c r="M66" s="23">
        <f>_xlfn.IFNA(VLOOKUP(TrCeib118[[#This Row],[BUS]],_xlfn._xlws.SORT(VeredaTr129[[BUS]:[T2]],11,-1,FALSE),11,FALSE),0)</f>
        <v>0.18402777777777768</v>
      </c>
      <c r="N66" s="23">
        <f>+TrCeib118[[#This Row],[∑TrCeib]]+TrCeib118[[#This Row],[T2]]</f>
        <v>0.35347222222222208</v>
      </c>
      <c r="O66" s="23"/>
      <c r="P66" s="40"/>
      <c r="Q66"/>
      <c r="R66" t="s">
        <v>63</v>
      </c>
      <c r="S66" s="28">
        <v>9</v>
      </c>
      <c r="T66" s="23">
        <v>0.66666666666666663</v>
      </c>
      <c r="U66" s="23">
        <f t="shared" ref="U66:U68" si="102">T66-T65</f>
        <v>5.5555555555558689E-3</v>
      </c>
      <c r="V66" s="23">
        <f>VLOOKUP(VeredaTr129[[#This Row],[HORA]],'OFERTA (3)'!B:F,5,TRUE)</f>
        <v>5.5555555555555558E-3</v>
      </c>
      <c r="W66" s="23">
        <f>+$U$2</f>
        <v>3.6805555555555557E-2</v>
      </c>
      <c r="X66" s="23">
        <f t="shared" ref="X66:X68" si="103">+T66+W66</f>
        <v>0.70347222222222217</v>
      </c>
      <c r="Y66" s="23">
        <f t="shared" ref="Y66:Z73" si="104">+(T65+V66)-T66</f>
        <v>0</v>
      </c>
      <c r="Z66" s="23"/>
      <c r="AA66" s="23">
        <f>+T66+Y66</f>
        <v>0.66666666666666663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_xlfn.IFNA(VLOOKUP(VeredaTr129[[#This Row],[BUS]],_xlfn._xlws.SORT(TrCeib118[[BUS]:[T2]],11,-1,FALSE),11,FALSE),0)</f>
        <v>0.2541666666666666</v>
      </c>
      <c r="AE66" s="23">
        <f>+VeredaTr129[[#This Row],[∑VeredaTr]]+VeredaTr129[[#This Row],[T2]]</f>
        <v>0.40138888888888874</v>
      </c>
    </row>
    <row r="67" spans="1:31" x14ac:dyDescent="0.35">
      <c r="A67" t="s">
        <v>70</v>
      </c>
      <c r="B67" s="28">
        <v>6</v>
      </c>
      <c r="C67" s="23">
        <v>0.67013888888888862</v>
      </c>
      <c r="D67" s="23">
        <f t="shared" si="94"/>
        <v>6.9444444444444198E-3</v>
      </c>
      <c r="E67" s="23">
        <f>VLOOKUP(TrCeib118[[#This Row],[HORA]],'OFERTA (3)'!I:M,5,TRUE)</f>
        <v>1.0416666666666666E-2</v>
      </c>
      <c r="F67" s="23">
        <f t="shared" si="0"/>
        <v>4.2361111111111106E-2</v>
      </c>
      <c r="G67" s="23">
        <f t="shared" si="95"/>
        <v>0.71249999999999969</v>
      </c>
      <c r="H67" s="23">
        <f t="shared" si="96"/>
        <v>3.4722222222222099E-3</v>
      </c>
      <c r="I67" s="23"/>
      <c r="J67" s="23">
        <f t="shared" si="97"/>
        <v>0.67361111111111083</v>
      </c>
      <c r="K67" s="30">
        <f>(G67-C67)+TrCeib118[[#This Row],[Tt_tex]]</f>
        <v>4.2361111111111072E-2</v>
      </c>
      <c r="L67" s="30">
        <f>SUMIF(B$4:$B67,TrCeib118[[#This Row],[BUS]],$K$4:K67)</f>
        <v>0.1694444444444444</v>
      </c>
      <c r="M67" s="23">
        <f>_xlfn.IFNA(VLOOKUP(TrCeib118[[#This Row],[BUS]],_xlfn._xlws.SORT(VeredaTr129[[BUS]:[T2]],11,-1,FALSE),11,FALSE),0)</f>
        <v>0.18402777777777771</v>
      </c>
      <c r="N67" s="23">
        <f>+TrCeib118[[#This Row],[∑TrCeib]]+TrCeib118[[#This Row],[T2]]</f>
        <v>0.35347222222222208</v>
      </c>
      <c r="O67" s="23"/>
      <c r="P67" s="40"/>
      <c r="Q67"/>
      <c r="S67" s="28">
        <v>17</v>
      </c>
      <c r="T67" s="23">
        <v>0.67222222222222217</v>
      </c>
      <c r="U67" s="23">
        <f t="shared" si="102"/>
        <v>5.5555555555555358E-3</v>
      </c>
      <c r="V67" s="23">
        <f>VLOOKUP(VeredaTr129[[#This Row],[HORA]],'OFERTA (3)'!B:F,5,TRUE)</f>
        <v>5.5555555555555558E-3</v>
      </c>
      <c r="W67" s="23">
        <f>+$U$2</f>
        <v>3.6805555555555557E-2</v>
      </c>
      <c r="X67" s="23">
        <f t="shared" si="103"/>
        <v>0.7090277777777777</v>
      </c>
      <c r="Y67" s="23">
        <f t="shared" si="104"/>
        <v>0</v>
      </c>
      <c r="Z67" s="23">
        <f t="shared" si="104"/>
        <v>3.680555555555589E-2</v>
      </c>
      <c r="AA67" s="23">
        <f>+T67+Y67</f>
        <v>0.67222222222222217</v>
      </c>
      <c r="AB67" s="30">
        <f>(X67-T67)</f>
        <v>3.6805555555555536E-2</v>
      </c>
      <c r="AC67" s="30">
        <f>SUMIF($S$4:S67,S67,$AB$4:AB67)</f>
        <v>0.11041666666666666</v>
      </c>
      <c r="AD67" s="23">
        <f>_xlfn.IFNA(VLOOKUP(VeredaTr129[[#This Row],[BUS]],_xlfn._xlws.SORT(TrCeib118[[BUS]:[T2]],11,-1,FALSE),11,FALSE),0)</f>
        <v>0.16944444444444429</v>
      </c>
      <c r="AE67" s="23">
        <f>+VeredaTr129[[#This Row],[∑VeredaTr]]+VeredaTr129[[#This Row],[T2]]</f>
        <v>0.27986111111111095</v>
      </c>
    </row>
    <row r="68" spans="1:31" x14ac:dyDescent="0.35">
      <c r="B68" s="28">
        <v>1</v>
      </c>
      <c r="C68" s="23">
        <v>0.67708333333333304</v>
      </c>
      <c r="D68" s="23">
        <f t="shared" si="94"/>
        <v>6.9444444444444198E-3</v>
      </c>
      <c r="E68" s="23">
        <f>VLOOKUP(TrCeib118[[#This Row],[HORA]],'OFERTA (3)'!I:M,5,TRUE)</f>
        <v>1.0416666666666666E-2</v>
      </c>
      <c r="F68" s="23">
        <f t="shared" ref="F68:F98" si="105">+$D$2</f>
        <v>4.2361111111111106E-2</v>
      </c>
      <c r="G68" s="23">
        <f t="shared" si="95"/>
        <v>0.71944444444444411</v>
      </c>
      <c r="H68" s="23">
        <f t="shared" si="96"/>
        <v>3.4722222222222099E-3</v>
      </c>
      <c r="I68" s="23"/>
      <c r="J68" s="23">
        <f t="shared" si="97"/>
        <v>0.68055555555555525</v>
      </c>
      <c r="K68" s="30">
        <f>(G68-C68)+TrCeib118[[#This Row],[Tt_tex]]</f>
        <v>4.2361111111111072E-2</v>
      </c>
      <c r="L68" s="30">
        <f>SUMIF(B$4:$B68,TrCeib118[[#This Row],[BUS]],$K$4:K68)</f>
        <v>0.21180555555555552</v>
      </c>
      <c r="M68" s="23">
        <f>_xlfn.IFNA(VLOOKUP(TrCeib118[[#This Row],[BUS]],_xlfn._xlws.SORT(VeredaTr129[[BUS]:[T2]],11,-1,FALSE),11,FALSE),0)</f>
        <v>0.18402777777777768</v>
      </c>
      <c r="N68" s="23">
        <f>+TrCeib118[[#This Row],[∑TrCeib]]+TrCeib118[[#This Row],[T2]]</f>
        <v>0.3958333333333332</v>
      </c>
      <c r="O68" s="23"/>
      <c r="P68" s="40"/>
      <c r="Q68"/>
      <c r="S68" s="28">
        <v>18</v>
      </c>
      <c r="T68" s="23">
        <v>0.67777777777777759</v>
      </c>
      <c r="U68" s="23">
        <f t="shared" si="102"/>
        <v>5.5555555555554248E-3</v>
      </c>
      <c r="V68" s="23">
        <f>VLOOKUP(VeredaTr129[[#This Row],[HORA]],'OFERTA (3)'!B:F,5,TRUE)</f>
        <v>5.5555555555555558E-3</v>
      </c>
      <c r="W68" s="23">
        <f t="shared" ref="W68:W95" si="106">+$U$2</f>
        <v>3.6805555555555557E-2</v>
      </c>
      <c r="X68" s="23">
        <f t="shared" si="103"/>
        <v>0.71458333333333313</v>
      </c>
      <c r="Y68" s="23">
        <f t="shared" si="104"/>
        <v>0</v>
      </c>
      <c r="Z68" s="23"/>
      <c r="AA68" s="23">
        <f t="shared" si="98"/>
        <v>0.67777777777777759</v>
      </c>
      <c r="AB68" s="30">
        <f t="shared" si="99"/>
        <v>3.6805555555555536E-2</v>
      </c>
      <c r="AC68" s="30">
        <f>SUMIF($S$4:S68,S68,$AB$4:AB68)</f>
        <v>0.11041666666666661</v>
      </c>
      <c r="AD68" s="23">
        <f>_xlfn.IFNA(VLOOKUP(VeredaTr129[[#This Row],[BUS]],_xlfn._xlws.SORT(TrCeib118[[BUS]:[T2]],11,-1,FALSE),11,FALSE),0)</f>
        <v>0.16944444444444429</v>
      </c>
      <c r="AE68" s="23">
        <f>+VeredaTr129[[#This Row],[∑VeredaTr]]+VeredaTr129[[#This Row],[T2]]</f>
        <v>0.27986111111111089</v>
      </c>
    </row>
    <row r="69" spans="1:31" x14ac:dyDescent="0.35">
      <c r="B69" s="28">
        <v>16</v>
      </c>
      <c r="C69" s="23">
        <v>0.68402777777777746</v>
      </c>
      <c r="D69" s="23">
        <f t="shared" si="94"/>
        <v>6.9444444444444198E-3</v>
      </c>
      <c r="E69" s="23">
        <f>VLOOKUP(TrCeib118[[#This Row],[HORA]],'OFERTA (3)'!I:M,5,TRUE)</f>
        <v>1.0416666666666666E-2</v>
      </c>
      <c r="F69" s="23">
        <f t="shared" si="105"/>
        <v>4.2361111111111106E-2</v>
      </c>
      <c r="G69" s="23">
        <f t="shared" si="95"/>
        <v>0.72638888888888853</v>
      </c>
      <c r="H69" s="23">
        <f t="shared" si="96"/>
        <v>3.4722222222222099E-3</v>
      </c>
      <c r="I69" s="23"/>
      <c r="J69" s="23">
        <f t="shared" si="97"/>
        <v>0.68749999999999967</v>
      </c>
      <c r="K69" s="30">
        <f>(G69-C69)+TrCeib118[[#This Row],[Tt_tex]]</f>
        <v>4.2361111111111072E-2</v>
      </c>
      <c r="L69" s="30">
        <f>SUMIF(B$4:$B69,TrCeib118[[#This Row],[BUS]],$K$4:K69)</f>
        <v>0.12708333333333327</v>
      </c>
      <c r="M69" s="23">
        <f>_xlfn.IFNA(VLOOKUP(TrCeib118[[#This Row],[BUS]],_xlfn._xlws.SORT(VeredaTr129[[BUS]:[T2]],11,-1,FALSE),11,FALSE),0)</f>
        <v>0.14722222222222214</v>
      </c>
      <c r="N69" s="23">
        <f>+TrCeib118[[#This Row],[∑TrCeib]]+TrCeib118[[#This Row],[T2]]</f>
        <v>0.27430555555555541</v>
      </c>
      <c r="O69" s="23"/>
      <c r="P69"/>
      <c r="Q69"/>
      <c r="R69" t="s">
        <v>63</v>
      </c>
      <c r="S69" s="28">
        <v>10</v>
      </c>
      <c r="T69" s="23">
        <v>0.68333333333333324</v>
      </c>
      <c r="U69" s="23">
        <f t="shared" ref="U69:U71" si="107">T69-T68</f>
        <v>5.5555555555556468E-3</v>
      </c>
      <c r="V69" s="23">
        <f>VLOOKUP(VeredaTr129[[#This Row],[HORA]],'OFERTA (3)'!B:F,5,TRUE)</f>
        <v>5.5555555555555558E-3</v>
      </c>
      <c r="W69" s="23">
        <f t="shared" si="106"/>
        <v>3.6805555555555557E-2</v>
      </c>
      <c r="X69" s="23">
        <f t="shared" ref="X69:X71" si="108">+T69+W69</f>
        <v>0.72013888888888877</v>
      </c>
      <c r="Y69" s="23">
        <f t="shared" si="104"/>
        <v>0</v>
      </c>
      <c r="Z69" s="23"/>
      <c r="AA69" s="23">
        <f>+T69+Y69</f>
        <v>0.68333333333333324</v>
      </c>
      <c r="AB69" s="30">
        <f>(X69-T69)</f>
        <v>3.6805555555555536E-2</v>
      </c>
      <c r="AC69" s="30">
        <f>SUMIF($S$4:S69,S69,$AB$4:AB69)</f>
        <v>0.14722222222222214</v>
      </c>
      <c r="AD69" s="23">
        <f>_xlfn.IFNA(VLOOKUP(VeredaTr129[[#This Row],[BUS]],_xlfn._xlws.SORT(TrCeib118[[BUS]:[T2]],11,-1,FALSE),11,FALSE),0)</f>
        <v>0.2541666666666666</v>
      </c>
      <c r="AE69" s="23">
        <f>+VeredaTr129[[#This Row],[∑VeredaTr]]+VeredaTr129[[#This Row],[T2]]</f>
        <v>0.40138888888888874</v>
      </c>
    </row>
    <row r="70" spans="1:31" x14ac:dyDescent="0.35">
      <c r="B70" s="28">
        <v>3</v>
      </c>
      <c r="C70" s="23">
        <v>0.68958333333333299</v>
      </c>
      <c r="D70" s="23">
        <f t="shared" si="94"/>
        <v>5.5555555555555358E-3</v>
      </c>
      <c r="E70" s="23">
        <f>VLOOKUP(TrCeib118[[#This Row],[HORA]],'OFERTA (3)'!I:M,5,TRUE)</f>
        <v>5.5555555555555558E-3</v>
      </c>
      <c r="F70" s="23">
        <f t="shared" si="105"/>
        <v>4.2361111111111106E-2</v>
      </c>
      <c r="G70" s="23">
        <f t="shared" si="95"/>
        <v>0.73194444444444406</v>
      </c>
      <c r="H70" s="23">
        <f t="shared" si="96"/>
        <v>0</v>
      </c>
      <c r="I70" s="23"/>
      <c r="J70" s="23">
        <f t="shared" si="97"/>
        <v>0.68958333333333299</v>
      </c>
      <c r="K70" s="30">
        <f>(G70-C70)+TrCeib118[[#This Row],[Tt_tex]]</f>
        <v>4.2361111111111072E-2</v>
      </c>
      <c r="L70" s="30">
        <f>SUMIF(B$4:$B70,TrCeib118[[#This Row],[BUS]],$K$4:K70)</f>
        <v>0.16944444444444443</v>
      </c>
      <c r="M70" s="23">
        <f>_xlfn.IFNA(VLOOKUP(TrCeib118[[#This Row],[BUS]],_xlfn._xlws.SORT(VeredaTr129[[BUS]:[T2]],11,-1,FALSE),11,FALSE),0)</f>
        <v>0.1826388888888888</v>
      </c>
      <c r="N70" s="23">
        <f>+TrCeib118[[#This Row],[∑TrCeib]]+TrCeib118[[#This Row],[T2]]</f>
        <v>0.35208333333333319</v>
      </c>
      <c r="O70" s="23"/>
      <c r="P70"/>
      <c r="Q70"/>
      <c r="S70" s="28">
        <v>7</v>
      </c>
      <c r="T70" s="23">
        <v>0.68888888888888877</v>
      </c>
      <c r="U70" s="23">
        <f t="shared" si="107"/>
        <v>5.5555555555555358E-3</v>
      </c>
      <c r="V70" s="23">
        <f>VLOOKUP(VeredaTr129[[#This Row],[HORA]],'OFERTA (3)'!B:F,5,TRUE)</f>
        <v>5.5555555555555558E-3</v>
      </c>
      <c r="W70" s="23">
        <f t="shared" si="106"/>
        <v>3.6805555555555557E-2</v>
      </c>
      <c r="X70" s="23">
        <f t="shared" si="108"/>
        <v>0.72569444444444431</v>
      </c>
      <c r="Y70" s="23">
        <f t="shared" si="104"/>
        <v>0</v>
      </c>
      <c r="Z70" s="23">
        <v>4.1666666666667629E-3</v>
      </c>
      <c r="AA70" s="23">
        <f t="shared" si="98"/>
        <v>0.68888888888888877</v>
      </c>
      <c r="AB70" s="30">
        <f t="shared" si="99"/>
        <v>3.6805555555555536E-2</v>
      </c>
      <c r="AC70" s="30">
        <f>SUMIF($S$4:S70,S70,$AB$4:AB70)</f>
        <v>0.18402777777777771</v>
      </c>
      <c r="AD70" s="23">
        <f>_xlfn.IFNA(VLOOKUP(VeredaTr129[[#This Row],[BUS]],_xlfn._xlws.SORT(TrCeib118[[BUS]:[T2]],11,-1,FALSE),11,FALSE),0)</f>
        <v>0.25416666666666654</v>
      </c>
      <c r="AE70" s="23">
        <f>+VeredaTr129[[#This Row],[∑VeredaTr]]+VeredaTr129[[#This Row],[T2]]</f>
        <v>0.43819444444444422</v>
      </c>
    </row>
    <row r="71" spans="1:31" x14ac:dyDescent="0.35">
      <c r="B71" s="28">
        <v>4</v>
      </c>
      <c r="C71" s="23">
        <v>0.69513888888888853</v>
      </c>
      <c r="D71" s="23">
        <f t="shared" si="94"/>
        <v>5.5555555555555358E-3</v>
      </c>
      <c r="E71" s="23">
        <f>VLOOKUP(TrCeib118[[#This Row],[HORA]],'OFERTA (3)'!I:M,5,TRUE)</f>
        <v>5.5555555555555558E-3</v>
      </c>
      <c r="F71" s="23">
        <f t="shared" si="105"/>
        <v>4.2361111111111106E-2</v>
      </c>
      <c r="G71" s="23">
        <f t="shared" si="95"/>
        <v>0.7374999999999996</v>
      </c>
      <c r="H71" s="23">
        <f t="shared" si="96"/>
        <v>0</v>
      </c>
      <c r="I71" s="23"/>
      <c r="J71" s="23">
        <f t="shared" si="97"/>
        <v>0.69513888888888853</v>
      </c>
      <c r="K71" s="30">
        <f>(G71-C71)+TrCeib118[[#This Row],[Tt_tex]]</f>
        <v>4.2361111111111072E-2</v>
      </c>
      <c r="L71" s="30">
        <f>SUMIF(B$4:$B98,TrCeib118[[#This Row],[BUS]],$K$4:K98)</f>
        <v>0.21180555555555552</v>
      </c>
      <c r="M71" s="23">
        <f>_xlfn.IFNA(VLOOKUP(TrCeib118[[#This Row],[BUS]],_xlfn._xlws.SORT(VeredaTr129[[BUS]:[T2]],11,-1,FALSE),11,FALSE),0)</f>
        <v>0.14444444444444438</v>
      </c>
      <c r="N71" s="23">
        <f>+TrCeib118[[#This Row],[∑TrCeib]]+TrCeib118[[#This Row],[T2]]</f>
        <v>0.3562499999999999</v>
      </c>
      <c r="O71" s="23"/>
      <c r="P71"/>
      <c r="Q71"/>
      <c r="R71" t="s">
        <v>63</v>
      </c>
      <c r="S71" s="28">
        <v>11</v>
      </c>
      <c r="T71" s="23">
        <v>0.69444444444444431</v>
      </c>
      <c r="U71" s="23">
        <f t="shared" si="107"/>
        <v>5.5555555555555358E-3</v>
      </c>
      <c r="V71" s="23">
        <f>VLOOKUP(VeredaTr129[[#This Row],[HORA]],'OFERTA (3)'!B:F,5,TRUE)</f>
        <v>5.5555555555555558E-3</v>
      </c>
      <c r="W71" s="23">
        <f t="shared" si="106"/>
        <v>3.6805555555555557E-2</v>
      </c>
      <c r="X71" s="23">
        <f t="shared" si="108"/>
        <v>0.73124999999999984</v>
      </c>
      <c r="Y71" s="23">
        <f t="shared" si="104"/>
        <v>0</v>
      </c>
      <c r="Z71" s="23">
        <v>2.7777777777778789E-3</v>
      </c>
      <c r="AA71" s="23">
        <f t="shared" si="98"/>
        <v>0.69444444444444431</v>
      </c>
      <c r="AB71" s="30">
        <f t="shared" si="99"/>
        <v>3.6805555555555536E-2</v>
      </c>
      <c r="AC71" s="30">
        <f>SUMIF($S$4:S71,S71,$AB$4:AB71)</f>
        <v>0.14722222222222214</v>
      </c>
      <c r="AD71" s="23">
        <f>_xlfn.IFNA(VLOOKUP(VeredaTr129[[#This Row],[BUS]],_xlfn._xlws.SORT(TrCeib118[[BUS]:[T2]],11,-1,FALSE),11,FALSE),0)</f>
        <v>0.25416666666666654</v>
      </c>
      <c r="AE71" s="23">
        <f>+VeredaTr129[[#This Row],[∑VeredaTr]]+VeredaTr129[[#This Row],[T2]]</f>
        <v>0.40138888888888868</v>
      </c>
    </row>
    <row r="72" spans="1:31" x14ac:dyDescent="0.35">
      <c r="B72" s="28">
        <v>14</v>
      </c>
      <c r="C72" s="23">
        <v>0.7006944444444444</v>
      </c>
      <c r="D72" s="23">
        <f t="shared" ref="D72:D75" si="109">C72-C71</f>
        <v>5.5555555555558689E-3</v>
      </c>
      <c r="E72" s="23">
        <f>VLOOKUP(TrCeib118[[#This Row],[HORA]],'OFERTA (3)'!I:M,5,TRUE)</f>
        <v>5.5555555555555558E-3</v>
      </c>
      <c r="F72" s="23">
        <f t="shared" si="105"/>
        <v>4.2361111111111106E-2</v>
      </c>
      <c r="G72" s="23">
        <f t="shared" ref="G72:G75" si="110">C72+F72</f>
        <v>0.74305555555555547</v>
      </c>
      <c r="H72" s="23">
        <f t="shared" ref="H72:H75" si="111">+(C71+E72)-C72</f>
        <v>0</v>
      </c>
      <c r="I72" s="23"/>
      <c r="J72" s="23">
        <f>+C72+H72</f>
        <v>0.7006944444444444</v>
      </c>
      <c r="K72" s="30">
        <f>(G72-C72)+TrCeib118[[#This Row],[Tt_tex]]</f>
        <v>4.2361111111111072E-2</v>
      </c>
      <c r="L72" s="30">
        <f>SUMIF(B$4:$B72,TrCeib118[[#This Row],[BUS]],$K$4:K72)</f>
        <v>0.21180555555555547</v>
      </c>
      <c r="M72" s="23">
        <f>_xlfn.IFNA(VLOOKUP(TrCeib118[[#This Row],[BUS]],_xlfn._xlws.SORT(VeredaTr129[[BUS]:[T2]],11,-1,FALSE),11,FALSE),0)</f>
        <v>0.22083333333333327</v>
      </c>
      <c r="N72" s="23">
        <f>+TrCeib118[[#This Row],[∑TrCeib]]+TrCeib118[[#This Row],[T2]]</f>
        <v>0.43263888888888874</v>
      </c>
      <c r="O72" s="23"/>
      <c r="P72"/>
      <c r="Q72"/>
      <c r="S72" s="28">
        <v>8</v>
      </c>
      <c r="T72" s="23">
        <v>0.69999999999999984</v>
      </c>
      <c r="U72" s="23">
        <f>T72-T71</f>
        <v>5.5555555555555358E-3</v>
      </c>
      <c r="V72" s="23">
        <f>VLOOKUP(VeredaTr129[[#This Row],[HORA]],'OFERTA (3)'!B:F,5,TRUE)</f>
        <v>5.5555555555555558E-3</v>
      </c>
      <c r="W72" s="23">
        <f t="shared" si="106"/>
        <v>3.6805555555555557E-2</v>
      </c>
      <c r="X72" s="23">
        <f t="shared" ref="X72:X73" si="112">+T72+W72</f>
        <v>0.73680555555555538</v>
      </c>
      <c r="Y72" s="23">
        <f>+(T71+V72)-T72</f>
        <v>0</v>
      </c>
      <c r="Z72" s="23">
        <v>1.388888888888995E-3</v>
      </c>
      <c r="AA72" s="23">
        <f t="shared" si="98"/>
        <v>0.69999999999999984</v>
      </c>
      <c r="AB72" s="30">
        <f t="shared" si="99"/>
        <v>3.6805555555555536E-2</v>
      </c>
      <c r="AC72" s="30">
        <f>SUMIF($S$4:S72,S72,$AB$4:AB72)</f>
        <v>0.18402777777777768</v>
      </c>
      <c r="AD72" s="23">
        <f>_xlfn.IFNA(VLOOKUP(VeredaTr129[[#This Row],[BUS]],_xlfn._xlws.SORT(TrCeib118[[BUS]:[T2]],11,-1,FALSE),11,FALSE),0)</f>
        <v>0.25416666666666654</v>
      </c>
      <c r="AE72" s="23">
        <f>+VeredaTr129[[#This Row],[∑VeredaTr]]+VeredaTr129[[#This Row],[T2]]</f>
        <v>0.43819444444444422</v>
      </c>
    </row>
    <row r="73" spans="1:31" x14ac:dyDescent="0.35">
      <c r="B73" s="28">
        <v>9</v>
      </c>
      <c r="C73" s="23">
        <v>0.70347222222222217</v>
      </c>
      <c r="D73" s="23">
        <f t="shared" si="109"/>
        <v>2.7777777777777679E-3</v>
      </c>
      <c r="E73" s="23">
        <f>VLOOKUP(TrCeib118[[#This Row],[HORA]],'OFERTA (3)'!I:M,5,TRUE)</f>
        <v>5.5555555555555558E-3</v>
      </c>
      <c r="F73" s="23">
        <f t="shared" si="105"/>
        <v>4.2361111111111106E-2</v>
      </c>
      <c r="G73" s="23">
        <f t="shared" si="110"/>
        <v>0.74583333333333324</v>
      </c>
      <c r="H73" s="23">
        <f t="shared" si="111"/>
        <v>2.7777777777777679E-3</v>
      </c>
      <c r="I73" s="23"/>
      <c r="J73" s="23">
        <f t="shared" ref="J73:J86" si="113">+C73+H73</f>
        <v>0.70624999999999993</v>
      </c>
      <c r="K73" s="30">
        <f>(G73-C73)+TrCeib118[[#This Row],[Tt_tex]]</f>
        <v>4.2361111111111072E-2</v>
      </c>
      <c r="L73" s="30">
        <f>SUMIF(B$4:$B73,TrCeib118[[#This Row],[BUS]],$K$4:K73)</f>
        <v>0.21180555555555552</v>
      </c>
      <c r="M73" s="23">
        <f>_xlfn.IFNA(VLOOKUP(TrCeib118[[#This Row],[BUS]],_xlfn._xlws.SORT(VeredaTr129[[BUS]:[T2]],11,-1,FALSE),11,FALSE),0)</f>
        <v>0.18402777777777768</v>
      </c>
      <c r="N73" s="23">
        <f>+TrCeib118[[#This Row],[∑TrCeib]]+TrCeib118[[#This Row],[T2]]</f>
        <v>0.3958333333333332</v>
      </c>
      <c r="O73" s="23"/>
      <c r="P73" s="40"/>
      <c r="Q73"/>
      <c r="S73" s="28">
        <v>2</v>
      </c>
      <c r="T73" s="23">
        <v>0.70555555555555527</v>
      </c>
      <c r="U73" s="23">
        <f t="shared" ref="U73" si="114">T73-T72</f>
        <v>5.5555555555554248E-3</v>
      </c>
      <c r="V73" s="23">
        <f>VLOOKUP(VeredaTr129[[#This Row],[HORA]],'OFERTA (3)'!B:F,5,TRUE)</f>
        <v>5.5555555555555558E-3</v>
      </c>
      <c r="W73" s="23">
        <f t="shared" si="106"/>
        <v>3.6805555555555557E-2</v>
      </c>
      <c r="X73" s="23">
        <f t="shared" si="112"/>
        <v>0.74236111111111081</v>
      </c>
      <c r="Y73" s="23">
        <f t="shared" si="104"/>
        <v>0</v>
      </c>
      <c r="Z73" s="23"/>
      <c r="AA73" s="23">
        <f t="shared" si="98"/>
        <v>0.70555555555555527</v>
      </c>
      <c r="AB73" s="30">
        <f t="shared" si="99"/>
        <v>3.6805555555555536E-2</v>
      </c>
      <c r="AC73" s="30">
        <f>SUMIF($S$4:S73,S73,$AB$4:AB73)</f>
        <v>0.14722222222222214</v>
      </c>
      <c r="AD73" s="23">
        <f>_xlfn.IFNA(VLOOKUP(VeredaTr129[[#This Row],[BUS]],_xlfn._xlws.SORT(TrCeib118[[BUS]:[T2]],11,-1,FALSE),11,FALSE),0)</f>
        <v>0.25416666666666654</v>
      </c>
      <c r="AE73" s="23">
        <f>+VeredaTr129[[#This Row],[∑VeredaTr]]+VeredaTr129[[#This Row],[T2]]</f>
        <v>0.40138888888888868</v>
      </c>
    </row>
    <row r="74" spans="1:31" x14ac:dyDescent="0.35">
      <c r="B74" s="28">
        <v>17</v>
      </c>
      <c r="C74" s="23">
        <v>0.7090277777777777</v>
      </c>
      <c r="D74" s="23">
        <f t="shared" si="109"/>
        <v>5.5555555555555358E-3</v>
      </c>
      <c r="E74" s="23">
        <f>VLOOKUP(TrCeib118[[#This Row],[HORA]],'OFERTA (3)'!I:M,5,TRUE)</f>
        <v>5.5555555555555558E-3</v>
      </c>
      <c r="F74" s="23">
        <f t="shared" si="105"/>
        <v>4.2361111111111106E-2</v>
      </c>
      <c r="G74" s="23">
        <f t="shared" si="110"/>
        <v>0.75138888888888877</v>
      </c>
      <c r="H74" s="23">
        <f t="shared" si="111"/>
        <v>0</v>
      </c>
      <c r="I74" s="23"/>
      <c r="J74" s="23">
        <f t="shared" si="113"/>
        <v>0.7090277777777777</v>
      </c>
      <c r="K74" s="30">
        <f>(G74-C74)+TrCeib118[[#This Row],[Tt_tex]]</f>
        <v>4.2361111111111072E-2</v>
      </c>
      <c r="L74" s="30">
        <f>SUMIF(B$4:$B74,TrCeib118[[#This Row],[BUS]],$K$4:K74)</f>
        <v>0.12708333333333321</v>
      </c>
      <c r="M74" s="23">
        <f>_xlfn.IFNA(VLOOKUP(TrCeib118[[#This Row],[BUS]],_xlfn._xlws.SORT(VeredaTr129[[BUS]:[T2]],11,-1,FALSE),11,FALSE),0)</f>
        <v>0.1472222222222222</v>
      </c>
      <c r="N74" s="23">
        <f>+TrCeib118[[#This Row],[∑TrCeib]]+TrCeib118[[#This Row],[T2]]</f>
        <v>0.27430555555555541</v>
      </c>
      <c r="O74" s="23"/>
      <c r="P74" s="40"/>
      <c r="Q74"/>
      <c r="R74" t="s">
        <v>63</v>
      </c>
      <c r="S74" s="28">
        <v>12</v>
      </c>
      <c r="T74" s="23">
        <v>0.71111111111111114</v>
      </c>
      <c r="U74" s="23">
        <f t="shared" ref="U74" si="115">T74-T73</f>
        <v>5.5555555555558689E-3</v>
      </c>
      <c r="V74" s="23">
        <f>VLOOKUP(VeredaTr129[[#This Row],[HORA]],'OFERTA (3)'!B:F,5,TRUE)</f>
        <v>5.5555555555555558E-3</v>
      </c>
      <c r="W74" s="23">
        <f t="shared" si="106"/>
        <v>3.6805555555555557E-2</v>
      </c>
      <c r="X74" s="23">
        <f t="shared" ref="X74" si="116">+T74+W74</f>
        <v>0.74791666666666667</v>
      </c>
      <c r="Y74" s="23">
        <f t="shared" ref="Y74" si="117">+(T73+V74)-T74</f>
        <v>0</v>
      </c>
      <c r="Z74" s="23"/>
      <c r="AA74" s="23">
        <f>+T74+Y74</f>
        <v>0.71111111111111114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_xlfn.IFNA(VLOOKUP(VeredaTr129[[#This Row],[BUS]],_xlfn._xlws.SORT(TrCeib118[[BUS]:[T2]],11,-1,FALSE),11,FALSE),0)</f>
        <v>0.2541666666666666</v>
      </c>
      <c r="AE74" s="23">
        <f>+VeredaTr129[[#This Row],[∑VeredaTr]]+VeredaTr129[[#This Row],[T2]]</f>
        <v>0.40138888888888874</v>
      </c>
    </row>
    <row r="75" spans="1:31" x14ac:dyDescent="0.35">
      <c r="B75" s="28">
        <v>18</v>
      </c>
      <c r="C75" s="23">
        <v>0.71458333333333313</v>
      </c>
      <c r="D75" s="23">
        <f t="shared" si="109"/>
        <v>5.5555555555554248E-3</v>
      </c>
      <c r="E75" s="23">
        <f>VLOOKUP(TrCeib118[[#This Row],[HORA]],'OFERTA (3)'!I:M,5,TRUE)</f>
        <v>5.5555555555555558E-3</v>
      </c>
      <c r="F75" s="23">
        <f t="shared" si="105"/>
        <v>4.2361111111111106E-2</v>
      </c>
      <c r="G75" s="23">
        <f t="shared" si="110"/>
        <v>0.7569444444444442</v>
      </c>
      <c r="H75" s="23">
        <f t="shared" si="111"/>
        <v>0</v>
      </c>
      <c r="I75" s="23"/>
      <c r="J75" s="23">
        <f t="shared" si="113"/>
        <v>0.71458333333333313</v>
      </c>
      <c r="K75" s="30">
        <f>(G75-C75)+TrCeib118[[#This Row],[Tt_tex]]</f>
        <v>4.2361111111111072E-2</v>
      </c>
      <c r="L75" s="30">
        <f>SUMIF(B$4:$B75,TrCeib118[[#This Row],[BUS]],$K$4:K75)</f>
        <v>0.12708333333333321</v>
      </c>
      <c r="M75" s="23">
        <f>_xlfn.IFNA(VLOOKUP(TrCeib118[[#This Row],[BUS]],_xlfn._xlws.SORT(VeredaTr129[[BUS]:[T2]],11,-1,FALSE),11,FALSE),0)</f>
        <v>0.18402777777777768</v>
      </c>
      <c r="N75" s="23">
        <f>+TrCeib118[[#This Row],[∑TrCeib]]+TrCeib118[[#This Row],[T2]]</f>
        <v>0.31111111111111089</v>
      </c>
      <c r="P75" s="40"/>
      <c r="R75" t="s">
        <v>63</v>
      </c>
      <c r="S75" s="28">
        <v>13</v>
      </c>
      <c r="T75" s="23">
        <v>0.71666666666666667</v>
      </c>
      <c r="U75" s="23">
        <f t="shared" ref="U75:U79" si="118">T75-T74</f>
        <v>5.5555555555555358E-3</v>
      </c>
      <c r="V75" s="23">
        <f>VLOOKUP(VeredaTr129[[#This Row],[HORA]],'OFERTA (3)'!B:F,5,TRUE)</f>
        <v>5.5555555555555558E-3</v>
      </c>
      <c r="W75" s="23">
        <f t="shared" si="106"/>
        <v>3.6805555555555557E-2</v>
      </c>
      <c r="X75" s="23">
        <f t="shared" ref="X75:X79" si="119">+T75+W75</f>
        <v>0.75347222222222221</v>
      </c>
      <c r="Y75" s="23">
        <f t="shared" ref="Y75:Y79" si="120">+(T74+V75)-T75</f>
        <v>0</v>
      </c>
      <c r="Z75" s="23"/>
      <c r="AA75" s="23">
        <f>+T75+Y75</f>
        <v>0.71666666666666667</v>
      </c>
      <c r="AB75" s="30">
        <f>(X75-T75)</f>
        <v>3.6805555555555536E-2</v>
      </c>
      <c r="AC75" s="30">
        <f>SUMIF($S$4:S75,S75,$AB$4:AB75)</f>
        <v>0.18402777777777768</v>
      </c>
      <c r="AD75" s="23">
        <f>_xlfn.IFNA(VLOOKUP(VeredaTr129[[#This Row],[BUS]],_xlfn._xlws.SORT(TrCeib118[[BUS]:[T2]],11,-1,FALSE),11,FALSE),0)</f>
        <v>0.25416666666666654</v>
      </c>
      <c r="AE75" s="23">
        <f>+VeredaTr129[[#This Row],[∑VeredaTr]]+VeredaTr129[[#This Row],[T2]]</f>
        <v>0.43819444444444422</v>
      </c>
    </row>
    <row r="76" spans="1:31" x14ac:dyDescent="0.35">
      <c r="B76" s="28">
        <v>10</v>
      </c>
      <c r="C76" s="23">
        <v>0.72013888888888877</v>
      </c>
      <c r="D76" s="23">
        <f t="shared" ref="D76:D86" si="121">C76-C75</f>
        <v>5.5555555555556468E-3</v>
      </c>
      <c r="E76" s="23">
        <f>VLOOKUP(TrCeib118[[#This Row],[HORA]],'OFERTA (3)'!I:M,5,TRUE)</f>
        <v>5.5555555555555558E-3</v>
      </c>
      <c r="F76" s="23">
        <f t="shared" si="105"/>
        <v>4.2361111111111106E-2</v>
      </c>
      <c r="G76" s="23">
        <f t="shared" ref="G76:G86" si="122">C76+F76</f>
        <v>0.76249999999999984</v>
      </c>
      <c r="H76" s="23">
        <f t="shared" ref="H76:H86" si="123">+(C75+E76)-C76</f>
        <v>0</v>
      </c>
      <c r="I76" s="23"/>
      <c r="J76" s="23">
        <f t="shared" si="113"/>
        <v>0.72013888888888877</v>
      </c>
      <c r="K76" s="30">
        <f>(G76-C76)+TrCeib118[[#This Row],[Tt_tex]]</f>
        <v>4.2361111111111072E-2</v>
      </c>
      <c r="L76" s="30">
        <f>SUMIF(B$4:$B76,TrCeib118[[#This Row],[BUS]],$K$4:K76)</f>
        <v>0.21180555555555552</v>
      </c>
      <c r="M76" s="23">
        <f>_xlfn.IFNA(VLOOKUP(TrCeib118[[#This Row],[BUS]],_xlfn._xlws.SORT(VeredaTr129[[BUS]:[T2]],11,-1,FALSE),11,FALSE),0)</f>
        <v>0.18402777777777768</v>
      </c>
      <c r="N76" s="23">
        <f>+TrCeib118[[#This Row],[∑TrCeib]]+TrCeib118[[#This Row],[T2]]</f>
        <v>0.3958333333333332</v>
      </c>
      <c r="P76" s="40"/>
      <c r="S76" s="28">
        <v>1</v>
      </c>
      <c r="T76" s="23">
        <v>0.72222222222222221</v>
      </c>
      <c r="U76" s="23">
        <f t="shared" si="118"/>
        <v>5.5555555555555358E-3</v>
      </c>
      <c r="V76" s="23">
        <f>VLOOKUP(VeredaTr129[[#This Row],[HORA]],'OFERTA (3)'!B:F,5,TRUE)</f>
        <v>5.5555555555555558E-3</v>
      </c>
      <c r="W76" s="23">
        <f t="shared" si="106"/>
        <v>3.6805555555555557E-2</v>
      </c>
      <c r="X76" s="23">
        <f t="shared" si="119"/>
        <v>0.75902777777777775</v>
      </c>
      <c r="Y76" s="23">
        <f t="shared" si="120"/>
        <v>0</v>
      </c>
      <c r="Z76" s="23">
        <v>2.777777777778101E-3</v>
      </c>
      <c r="AA76" s="23">
        <f t="shared" si="98"/>
        <v>0.72222222222222221</v>
      </c>
      <c r="AB76" s="30">
        <f t="shared" si="99"/>
        <v>3.6805555555555536E-2</v>
      </c>
      <c r="AC76" s="30">
        <f>SUMIF($S$4:S76,S76,$AB$4:AB76)</f>
        <v>0.18402777777777768</v>
      </c>
      <c r="AD76" s="23">
        <f>_xlfn.IFNA(VLOOKUP(VeredaTr129[[#This Row],[BUS]],_xlfn._xlws.SORT(TrCeib118[[BUS]:[T2]],11,-1,FALSE),11,FALSE),0)</f>
        <v>0.2541666666666666</v>
      </c>
      <c r="AE76" s="56">
        <f>+VeredaTr129[[#This Row],[∑VeredaTr]]+VeredaTr129[[#This Row],[T2]]</f>
        <v>0.43819444444444428</v>
      </c>
    </row>
    <row r="77" spans="1:31" x14ac:dyDescent="0.35">
      <c r="B77" s="28">
        <v>7</v>
      </c>
      <c r="C77" s="23">
        <v>0.72569444444444431</v>
      </c>
      <c r="D77" s="23">
        <f t="shared" si="121"/>
        <v>5.5555555555555358E-3</v>
      </c>
      <c r="E77" s="23">
        <f>VLOOKUP(TrCeib118[[#This Row],[HORA]],'OFERTA (3)'!I:M,5,TRUE)</f>
        <v>5.5555555555555558E-3</v>
      </c>
      <c r="F77" s="23">
        <f t="shared" si="105"/>
        <v>4.2361111111111106E-2</v>
      </c>
      <c r="G77" s="23">
        <f t="shared" si="122"/>
        <v>0.76805555555555538</v>
      </c>
      <c r="H77" s="23">
        <f t="shared" si="123"/>
        <v>0</v>
      </c>
      <c r="I77" s="23"/>
      <c r="J77" s="23">
        <f t="shared" si="113"/>
        <v>0.72569444444444431</v>
      </c>
      <c r="K77" s="30">
        <f>(G77-C77)+TrCeib118[[#This Row],[Tt_tex]]</f>
        <v>4.2361111111111072E-2</v>
      </c>
      <c r="L77" s="30">
        <f>SUMIF(B$4:$B77,TrCeib118[[#This Row],[BUS]],$K$4:K77)</f>
        <v>0.21180555555555547</v>
      </c>
      <c r="M77" s="23">
        <f>_xlfn.IFNA(VLOOKUP(TrCeib118[[#This Row],[BUS]],_xlfn._xlws.SORT(VeredaTr129[[BUS]:[T2]],11,-1,FALSE),11,FALSE),0)</f>
        <v>0.22083333333333324</v>
      </c>
      <c r="N77" s="23">
        <f>+TrCeib118[[#This Row],[∑TrCeib]]+TrCeib118[[#This Row],[T2]]</f>
        <v>0.43263888888888868</v>
      </c>
      <c r="P77" s="40"/>
      <c r="S77" s="28">
        <v>16</v>
      </c>
      <c r="T77" s="23">
        <v>0.72638888888888853</v>
      </c>
      <c r="U77" s="23">
        <f t="shared" si="118"/>
        <v>4.1666666666663188E-3</v>
      </c>
      <c r="V77" s="23">
        <f>VLOOKUP(VeredaTr129[[#This Row],[HORA]],'OFERTA (3)'!B:F,5,TRUE)</f>
        <v>5.5555555555555558E-3</v>
      </c>
      <c r="W77" s="23">
        <f t="shared" si="106"/>
        <v>3.6805555555555557E-2</v>
      </c>
      <c r="X77" s="23">
        <f t="shared" si="119"/>
        <v>0.76319444444444406</v>
      </c>
      <c r="Y77" s="23">
        <f t="shared" si="120"/>
        <v>1.388888888889217E-3</v>
      </c>
      <c r="Z77" s="23"/>
      <c r="AA77" s="23">
        <f t="shared" si="98"/>
        <v>0.72777777777777775</v>
      </c>
      <c r="AB77" s="30">
        <f t="shared" si="99"/>
        <v>3.6805555555555536E-2</v>
      </c>
      <c r="AC77" s="30">
        <f>SUMIF($S$4:S77,S77,$AB$4:AB77)</f>
        <v>0.14722222222222214</v>
      </c>
      <c r="AD77" s="23">
        <f>_xlfn.IFNA(VLOOKUP(VeredaTr129[[#This Row],[BUS]],_xlfn._xlws.SORT(TrCeib118[[BUS]:[T2]],11,-1,FALSE),11,FALSE),0)</f>
        <v>0.16944444444444434</v>
      </c>
      <c r="AE77" s="23">
        <f>+VeredaTr129[[#This Row],[∑VeredaTr]]+VeredaTr129[[#This Row],[T2]]</f>
        <v>0.31666666666666649</v>
      </c>
    </row>
    <row r="78" spans="1:31" x14ac:dyDescent="0.35">
      <c r="B78" s="28">
        <v>11</v>
      </c>
      <c r="C78" s="23">
        <v>0.73124999999999984</v>
      </c>
      <c r="D78" s="23">
        <f t="shared" si="121"/>
        <v>5.5555555555555358E-3</v>
      </c>
      <c r="E78" s="23">
        <f>VLOOKUP(TrCeib118[[#This Row],[HORA]],'OFERTA (3)'!I:M,5,TRUE)</f>
        <v>5.5555555555555558E-3</v>
      </c>
      <c r="F78" s="23">
        <f t="shared" si="105"/>
        <v>4.2361111111111106E-2</v>
      </c>
      <c r="G78" s="23">
        <f t="shared" si="122"/>
        <v>0.77361111111111092</v>
      </c>
      <c r="H78" s="23">
        <f t="shared" si="123"/>
        <v>0</v>
      </c>
      <c r="I78" s="23"/>
      <c r="J78" s="23">
        <f t="shared" si="113"/>
        <v>0.73124999999999984</v>
      </c>
      <c r="K78" s="30">
        <f>(G78-C78)+TrCeib118[[#This Row],[Tt_tex]]</f>
        <v>4.2361111111111072E-2</v>
      </c>
      <c r="L78" s="30">
        <f>SUMIF(B$4:$B78,TrCeib118[[#This Row],[BUS]],$K$4:K78)</f>
        <v>0.21180555555555547</v>
      </c>
      <c r="M78" s="23">
        <f>_xlfn.IFNA(VLOOKUP(TrCeib118[[#This Row],[BUS]],_xlfn._xlws.SORT(VeredaTr129[[BUS]:[T2]],11,-1,FALSE),11,FALSE),0)</f>
        <v>0.22083333333333321</v>
      </c>
      <c r="N78" s="23">
        <f>+TrCeib118[[#This Row],[∑TrCeib]]+TrCeib118[[#This Row],[T2]]</f>
        <v>0.43263888888888868</v>
      </c>
      <c r="P78" s="40"/>
      <c r="S78" s="28">
        <v>3</v>
      </c>
      <c r="T78" s="23">
        <v>0.73194444444444406</v>
      </c>
      <c r="U78" s="23">
        <f t="shared" si="118"/>
        <v>5.5555555555555358E-3</v>
      </c>
      <c r="V78" s="23">
        <f>VLOOKUP(VeredaTr129[[#This Row],[HORA]],'OFERTA (3)'!B:F,5,TRUE)</f>
        <v>5.5555555555555558E-3</v>
      </c>
      <c r="W78" s="23">
        <f t="shared" si="106"/>
        <v>3.6805555555555557E-2</v>
      </c>
      <c r="X78" s="23">
        <f t="shared" si="119"/>
        <v>0.7687499999999996</v>
      </c>
      <c r="Y78" s="23">
        <f t="shared" si="120"/>
        <v>0</v>
      </c>
      <c r="Z78" s="23"/>
      <c r="AA78" s="23">
        <f t="shared" si="98"/>
        <v>0.73194444444444406</v>
      </c>
      <c r="AB78" s="30">
        <f t="shared" si="99"/>
        <v>3.6805555555555536E-2</v>
      </c>
      <c r="AC78" s="30">
        <f>SUMIF($S$4:S78,S78,$AB$4:AB78)</f>
        <v>0.14583333333333326</v>
      </c>
      <c r="AD78" s="23">
        <f>_xlfn.IFNA(VLOOKUP(VeredaTr129[[#This Row],[BUS]],_xlfn._xlws.SORT(TrCeib118[[BUS]:[T2]],11,-1,FALSE),11,FALSE),0)</f>
        <v>0.25416666666666654</v>
      </c>
      <c r="AE78" s="23">
        <f>+VeredaTr129[[#This Row],[∑VeredaTr]]+VeredaTr129[[#This Row],[T2]]</f>
        <v>0.3999999999999998</v>
      </c>
    </row>
    <row r="79" spans="1:31" x14ac:dyDescent="0.35">
      <c r="B79" s="28">
        <v>8</v>
      </c>
      <c r="C79" s="23">
        <v>0.73680555555555538</v>
      </c>
      <c r="D79" s="23">
        <f t="shared" si="121"/>
        <v>5.5555555555555358E-3</v>
      </c>
      <c r="E79" s="23">
        <f>VLOOKUP(TrCeib118[[#This Row],[HORA]],'OFERTA (3)'!I:M,5,TRUE)</f>
        <v>5.5555555555555558E-3</v>
      </c>
      <c r="F79" s="23">
        <f t="shared" si="105"/>
        <v>4.2361111111111106E-2</v>
      </c>
      <c r="G79" s="23">
        <f t="shared" si="122"/>
        <v>0.77916666666666645</v>
      </c>
      <c r="H79" s="23">
        <f t="shared" si="123"/>
        <v>0</v>
      </c>
      <c r="I79" s="23"/>
      <c r="J79" s="23">
        <f t="shared" si="113"/>
        <v>0.73680555555555538</v>
      </c>
      <c r="K79" s="30">
        <f>(G79-C79)+TrCeib118[[#This Row],[Tt_tex]]</f>
        <v>4.2361111111111072E-2</v>
      </c>
      <c r="L79" s="30">
        <f>SUMIF(B$4:$B79,TrCeib118[[#This Row],[BUS]],$K$4:K79)</f>
        <v>0.21180555555555547</v>
      </c>
      <c r="M79" s="23">
        <f>_xlfn.IFNA(VLOOKUP(TrCeib118[[#This Row],[BUS]],_xlfn._xlws.SORT(VeredaTr129[[BUS]:[T2]],11,-1,FALSE),11,FALSE),0)</f>
        <v>0.22083333333333321</v>
      </c>
      <c r="N79" s="23">
        <f>+TrCeib118[[#This Row],[∑TrCeib]]+TrCeib118[[#This Row],[T2]]</f>
        <v>0.43263888888888868</v>
      </c>
      <c r="P79" s="40"/>
      <c r="S79" s="28">
        <v>4</v>
      </c>
      <c r="T79" s="23">
        <v>0.7374999999999996</v>
      </c>
      <c r="U79" s="23">
        <f t="shared" si="118"/>
        <v>5.5555555555555358E-3</v>
      </c>
      <c r="V79" s="23">
        <f>VLOOKUP(VeredaTr129[[#This Row],[HORA]],'OFERTA (3)'!B:F,5,TRUE)</f>
        <v>5.5555555555555558E-3</v>
      </c>
      <c r="W79" s="23">
        <f t="shared" si="106"/>
        <v>3.6805555555555557E-2</v>
      </c>
      <c r="X79" s="23">
        <f t="shared" si="119"/>
        <v>0.77430555555555514</v>
      </c>
      <c r="Y79" s="23">
        <f t="shared" si="120"/>
        <v>0</v>
      </c>
      <c r="Z79" s="23"/>
      <c r="AA79" s="23">
        <f t="shared" si="98"/>
        <v>0.7374999999999996</v>
      </c>
      <c r="AB79" s="30">
        <f t="shared" si="99"/>
        <v>3.6805555555555536E-2</v>
      </c>
      <c r="AC79" s="30">
        <f>SUMIF($S$4:S95,S79,$AB$4:AB95)</f>
        <v>0.14444444444444438</v>
      </c>
      <c r="AD79" s="23">
        <f>_xlfn.IFNA(VLOOKUP(VeredaTr129[[#This Row],[BUS]],_xlfn._xlws.SORT(TrCeib118[[BUS]:[T2]],11,-1,FALSE),11,FALSE),0)</f>
        <v>0.21180555555555552</v>
      </c>
      <c r="AE79" s="23">
        <f>+VeredaTr129[[#This Row],[∑VeredaTr]]+VeredaTr129[[#This Row],[T2]]</f>
        <v>0.3562499999999999</v>
      </c>
    </row>
    <row r="80" spans="1:31" x14ac:dyDescent="0.35">
      <c r="B80" s="28">
        <v>2</v>
      </c>
      <c r="C80" s="23">
        <v>0.74236111111111081</v>
      </c>
      <c r="D80" s="23">
        <f t="shared" si="121"/>
        <v>5.5555555555554248E-3</v>
      </c>
      <c r="E80" s="23">
        <f>VLOOKUP(TrCeib118[[#This Row],[HORA]],'OFERTA (3)'!I:M,5,TRUE)</f>
        <v>5.5555555555555558E-3</v>
      </c>
      <c r="F80" s="23">
        <f t="shared" si="105"/>
        <v>4.2361111111111106E-2</v>
      </c>
      <c r="G80" s="23">
        <f t="shared" si="122"/>
        <v>0.78472222222222188</v>
      </c>
      <c r="H80" s="23">
        <f t="shared" si="123"/>
        <v>0</v>
      </c>
      <c r="I80" s="23"/>
      <c r="J80" s="23">
        <f t="shared" si="113"/>
        <v>0.74236111111111081</v>
      </c>
      <c r="K80" s="30">
        <f>(G80-C80)+TrCeib118[[#This Row],[Tt_tex]]</f>
        <v>4.2361111111111072E-2</v>
      </c>
      <c r="L80" s="30">
        <f>SUMIF(B$4:$B80,TrCeib118[[#This Row],[BUS]],$K$4:K80)</f>
        <v>0.2118055555555555</v>
      </c>
      <c r="M80" s="23">
        <f>_xlfn.IFNA(VLOOKUP(TrCeib118[[#This Row],[BUS]],_xlfn._xlws.SORT(VeredaTr129[[BUS]:[T2]],11,-1,FALSE),11,FALSE),0)</f>
        <v>0.18402777777777768</v>
      </c>
      <c r="N80" s="23">
        <f>+TrCeib118[[#This Row],[∑TrCeib]]+TrCeib118[[#This Row],[T2]]</f>
        <v>0.39583333333333315</v>
      </c>
      <c r="S80" s="28">
        <v>14</v>
      </c>
      <c r="T80" s="23">
        <v>0.74305555555555547</v>
      </c>
      <c r="U80" s="23">
        <f t="shared" ref="U80:U89" si="124">T80-T79</f>
        <v>5.5555555555558689E-3</v>
      </c>
      <c r="V80" s="23">
        <f>VLOOKUP(VeredaTr129[[#This Row],[HORA]],'OFERTA (3)'!B:F,5,TRUE)</f>
        <v>5.5555555555555558E-3</v>
      </c>
      <c r="W80" s="23">
        <f t="shared" si="106"/>
        <v>3.6805555555555557E-2</v>
      </c>
      <c r="X80" s="23">
        <f t="shared" ref="X80:X89" si="125">+T80+W80</f>
        <v>0.77986111111111101</v>
      </c>
      <c r="Y80" s="23">
        <f t="shared" ref="Y80:Y89" si="126">+(T79+V80)-T80</f>
        <v>0</v>
      </c>
      <c r="Z80" s="23"/>
      <c r="AA80" s="23">
        <f t="shared" ref="AA80:AA91" si="127">+T80+Y80</f>
        <v>0.74305555555555547</v>
      </c>
      <c r="AB80" s="30">
        <f t="shared" ref="AB80:AB91" si="128">(X80-T80)</f>
        <v>3.6805555555555536E-2</v>
      </c>
      <c r="AC80" s="30">
        <f>SUMIF($S$4:S80,S80,$AB$4:AB80)</f>
        <v>0.18402777777777773</v>
      </c>
      <c r="AD80" s="23">
        <f>_xlfn.IFNA(VLOOKUP(VeredaTr129[[#This Row],[BUS]],_xlfn._xlws.SORT(TrCeib118[[BUS]:[T2]],11,-1,FALSE),11,FALSE),0)</f>
        <v>0.25416666666666654</v>
      </c>
      <c r="AE80" s="23">
        <f>+VeredaTr129[[#This Row],[∑VeredaTr]]+VeredaTr129[[#This Row],[T2]]</f>
        <v>0.43819444444444428</v>
      </c>
    </row>
    <row r="81" spans="1:31" x14ac:dyDescent="0.35">
      <c r="B81" s="28">
        <v>12</v>
      </c>
      <c r="C81" s="23">
        <v>0.74791666666666667</v>
      </c>
      <c r="D81" s="23">
        <f t="shared" si="121"/>
        <v>5.5555555555558689E-3</v>
      </c>
      <c r="E81" s="23">
        <f>VLOOKUP(TrCeib118[[#This Row],[HORA]],'OFERTA (3)'!I:M,5,TRUE)</f>
        <v>5.5555555555555558E-3</v>
      </c>
      <c r="F81" s="23">
        <f t="shared" si="105"/>
        <v>4.2361111111111106E-2</v>
      </c>
      <c r="G81" s="23">
        <f t="shared" si="122"/>
        <v>0.79027777777777775</v>
      </c>
      <c r="H81" s="23">
        <f t="shared" si="123"/>
        <v>0</v>
      </c>
      <c r="I81" s="23"/>
      <c r="J81" s="23">
        <f t="shared" si="113"/>
        <v>0.74791666666666667</v>
      </c>
      <c r="K81" s="30">
        <f>(G81-C81)+TrCeib118[[#This Row],[Tt_tex]]</f>
        <v>4.2361111111111072E-2</v>
      </c>
      <c r="L81" s="30">
        <f>SUMIF(B$4:$B81,TrCeib118[[#This Row],[BUS]],$K$4:K81)</f>
        <v>0.21180555555555552</v>
      </c>
      <c r="M81" s="23">
        <f>_xlfn.IFNA(VLOOKUP(TrCeib118[[#This Row],[BUS]],_xlfn._xlws.SORT(VeredaTr129[[BUS]:[T2]],11,-1,FALSE),11,FALSE),0)</f>
        <v>0.22083333333333321</v>
      </c>
      <c r="N81" s="23">
        <f>+TrCeib118[[#This Row],[∑TrCeib]]+TrCeib118[[#This Row],[T2]]</f>
        <v>0.43263888888888874</v>
      </c>
      <c r="S81" s="28">
        <v>9</v>
      </c>
      <c r="T81" s="23">
        <v>0.74861111111111101</v>
      </c>
      <c r="U81" s="23">
        <f t="shared" si="124"/>
        <v>5.5555555555555358E-3</v>
      </c>
      <c r="V81" s="23">
        <f>VLOOKUP(VeredaTr129[[#This Row],[HORA]],'OFERTA (3)'!B:F,5,TRUE)</f>
        <v>5.5555555555555558E-3</v>
      </c>
      <c r="W81" s="23">
        <f t="shared" si="106"/>
        <v>3.6805555555555557E-2</v>
      </c>
      <c r="X81" s="23">
        <f t="shared" si="125"/>
        <v>0.78541666666666654</v>
      </c>
      <c r="Y81" s="23">
        <f t="shared" si="126"/>
        <v>0</v>
      </c>
      <c r="Z81" s="23">
        <v>2.7777777777777679E-3</v>
      </c>
      <c r="AA81" s="23">
        <f t="shared" si="127"/>
        <v>0.74861111111111101</v>
      </c>
      <c r="AB81" s="30">
        <f t="shared" si="128"/>
        <v>3.6805555555555536E-2</v>
      </c>
      <c r="AC81" s="30">
        <f>SUMIF($S$4:S81,S81,$AB$4:AB81)</f>
        <v>0.18402777777777768</v>
      </c>
      <c r="AD81" s="23">
        <f>_xlfn.IFNA(VLOOKUP(VeredaTr129[[#This Row],[BUS]],_xlfn._xlws.SORT(TrCeib118[[BUS]:[T2]],11,-1,FALSE),11,FALSE),0)</f>
        <v>0.2541666666666666</v>
      </c>
      <c r="AE81" s="23">
        <f>+VeredaTr129[[#This Row],[∑VeredaTr]]+VeredaTr129[[#This Row],[T2]]</f>
        <v>0.43819444444444428</v>
      </c>
    </row>
    <row r="82" spans="1:31" x14ac:dyDescent="0.35">
      <c r="B82" s="28">
        <v>13</v>
      </c>
      <c r="C82" s="23">
        <v>0.75347222222222221</v>
      </c>
      <c r="D82" s="23">
        <f t="shared" si="121"/>
        <v>5.5555555555555358E-3</v>
      </c>
      <c r="E82" s="23">
        <f>VLOOKUP(TrCeib118[[#This Row],[HORA]],'OFERTA (3)'!I:M,5,TRUE)</f>
        <v>5.5555555555555558E-3</v>
      </c>
      <c r="F82" s="23">
        <f t="shared" si="105"/>
        <v>4.2361111111111106E-2</v>
      </c>
      <c r="G82" s="23">
        <f t="shared" si="122"/>
        <v>0.79583333333333328</v>
      </c>
      <c r="H82" s="23">
        <f t="shared" si="123"/>
        <v>0</v>
      </c>
      <c r="I82" s="23"/>
      <c r="J82" s="23">
        <f t="shared" si="113"/>
        <v>0.75347222222222221</v>
      </c>
      <c r="K82" s="30">
        <f>(G82-C82)+TrCeib118[[#This Row],[Tt_tex]]</f>
        <v>4.2361111111111072E-2</v>
      </c>
      <c r="L82" s="30">
        <f>SUMIF(B$4:$B82,TrCeib118[[#This Row],[BUS]],$K$4:K82)</f>
        <v>0.21180555555555547</v>
      </c>
      <c r="M82" s="23">
        <f>_xlfn.IFNA(VLOOKUP(TrCeib118[[#This Row],[BUS]],_xlfn._xlws.SORT(VeredaTr129[[BUS]:[T2]],11,-1,FALSE),11,FALSE),0)</f>
        <v>0.22083333333333321</v>
      </c>
      <c r="N82" s="23">
        <f>+TrCeib118[[#This Row],[∑TrCeib]]+TrCeib118[[#This Row],[T2]]</f>
        <v>0.43263888888888868</v>
      </c>
      <c r="S82" s="28">
        <v>17</v>
      </c>
      <c r="T82" s="23">
        <v>0.75416666666666654</v>
      </c>
      <c r="U82" s="23">
        <f t="shared" si="124"/>
        <v>5.5555555555555358E-3</v>
      </c>
      <c r="V82" s="23">
        <f>VLOOKUP(VeredaTr129[[#This Row],[HORA]],'OFERTA (3)'!B:F,5,TRUE)</f>
        <v>5.5555555555555558E-3</v>
      </c>
      <c r="W82" s="23">
        <f t="shared" si="106"/>
        <v>3.6805555555555557E-2</v>
      </c>
      <c r="X82" s="23">
        <f t="shared" si="125"/>
        <v>0.79097222222222208</v>
      </c>
      <c r="Y82" s="23">
        <f t="shared" si="126"/>
        <v>0</v>
      </c>
      <c r="Z82" s="23">
        <v>2.7777777777777679E-3</v>
      </c>
      <c r="AA82" s="23">
        <f t="shared" si="127"/>
        <v>0.75416666666666654</v>
      </c>
      <c r="AB82" s="30">
        <f t="shared" si="128"/>
        <v>3.6805555555555536E-2</v>
      </c>
      <c r="AC82" s="30">
        <f>SUMIF($S$4:S82,S82,$AB$4:AB82)</f>
        <v>0.1472222222222222</v>
      </c>
      <c r="AD82" s="23">
        <f>_xlfn.IFNA(VLOOKUP(VeredaTr129[[#This Row],[BUS]],_xlfn._xlws.SORT(TrCeib118[[BUS]:[T2]],11,-1,FALSE),11,FALSE),0)</f>
        <v>0.16944444444444429</v>
      </c>
      <c r="AE82" s="23">
        <f>+VeredaTr129[[#This Row],[∑VeredaTr]]+VeredaTr129[[#This Row],[T2]]</f>
        <v>0.31666666666666649</v>
      </c>
    </row>
    <row r="83" spans="1:31" x14ac:dyDescent="0.35">
      <c r="A83" t="s">
        <v>70</v>
      </c>
      <c r="B83" s="28">
        <v>1</v>
      </c>
      <c r="C83" s="23">
        <v>0.75902777777777775</v>
      </c>
      <c r="D83" s="23">
        <f t="shared" si="121"/>
        <v>5.5555555555555358E-3</v>
      </c>
      <c r="E83" s="23">
        <f>VLOOKUP(TrCeib118[[#This Row],[HORA]],'OFERTA (3)'!I:M,5,TRUE)</f>
        <v>5.5555555555555558E-3</v>
      </c>
      <c r="F83" s="23">
        <f t="shared" si="105"/>
        <v>4.2361111111111106E-2</v>
      </c>
      <c r="G83" s="23">
        <f t="shared" si="122"/>
        <v>0.80138888888888882</v>
      </c>
      <c r="H83" s="23">
        <f t="shared" si="123"/>
        <v>0</v>
      </c>
      <c r="I83" s="23"/>
      <c r="J83" s="23">
        <f t="shared" si="113"/>
        <v>0.75902777777777775</v>
      </c>
      <c r="K83" s="30">
        <f>(G83-C83)+TrCeib118[[#This Row],[Tt_tex]]</f>
        <v>4.2361111111111072E-2</v>
      </c>
      <c r="L83" s="30">
        <f>SUMIF(B$4:$B83,TrCeib118[[#This Row],[BUS]],$K$4:K83)</f>
        <v>0.2541666666666666</v>
      </c>
      <c r="M83" s="23">
        <f>_xlfn.IFNA(VLOOKUP(TrCeib118[[#This Row],[BUS]],_xlfn._xlws.SORT(VeredaTr129[[BUS]:[T2]],11,-1,FALSE),11,FALSE),0)</f>
        <v>0.18402777777777768</v>
      </c>
      <c r="N83" s="23">
        <f>+TrCeib118[[#This Row],[∑TrCeib]]+TrCeib118[[#This Row],[T2]]</f>
        <v>0.43819444444444428</v>
      </c>
      <c r="S83" s="28">
        <v>18</v>
      </c>
      <c r="T83" s="23">
        <v>0.75972222222222208</v>
      </c>
      <c r="U83" s="23">
        <f t="shared" si="124"/>
        <v>5.5555555555555358E-3</v>
      </c>
      <c r="V83" s="23">
        <f>VLOOKUP(VeredaTr129[[#This Row],[HORA]],'OFERTA (3)'!B:F,5,TRUE)</f>
        <v>5.5555555555555558E-3</v>
      </c>
      <c r="W83" s="23">
        <f t="shared" si="106"/>
        <v>3.6805555555555557E-2</v>
      </c>
      <c r="X83" s="23">
        <f t="shared" si="125"/>
        <v>0.79652777777777761</v>
      </c>
      <c r="Y83" s="23">
        <f t="shared" si="126"/>
        <v>0</v>
      </c>
      <c r="Z83" s="23">
        <v>2.7777777777778789E-3</v>
      </c>
      <c r="AA83" s="23">
        <f t="shared" si="127"/>
        <v>0.75972222222222208</v>
      </c>
      <c r="AB83" s="30">
        <f t="shared" si="128"/>
        <v>3.6805555555555536E-2</v>
      </c>
      <c r="AC83" s="30">
        <f>SUMIF($S$4:S83,S83,$AB$4:AB83)</f>
        <v>0.14722222222222214</v>
      </c>
      <c r="AD83" s="23">
        <f>_xlfn.IFNA(VLOOKUP(VeredaTr129[[#This Row],[BUS]],_xlfn._xlws.SORT(TrCeib118[[BUS]:[T2]],11,-1,FALSE),11,FALSE),0)</f>
        <v>0.16944444444444429</v>
      </c>
      <c r="AE83" s="23">
        <f>+VeredaTr129[[#This Row],[∑VeredaTr]]+VeredaTr129[[#This Row],[T2]]</f>
        <v>0.31666666666666643</v>
      </c>
    </row>
    <row r="84" spans="1:31" x14ac:dyDescent="0.35">
      <c r="A84" t="s">
        <v>70</v>
      </c>
      <c r="B84" s="28">
        <v>16</v>
      </c>
      <c r="C84" s="23">
        <v>0.76319444444444406</v>
      </c>
      <c r="D84" s="23">
        <f t="shared" si="121"/>
        <v>4.1666666666663188E-3</v>
      </c>
      <c r="E84" s="23">
        <f>VLOOKUP(TrCeib118[[#This Row],[HORA]],'OFERTA (3)'!I:M,5,TRUE)</f>
        <v>5.5555555555555558E-3</v>
      </c>
      <c r="F84" s="23">
        <f t="shared" si="105"/>
        <v>4.2361111111111106E-2</v>
      </c>
      <c r="G84" s="23">
        <f t="shared" si="122"/>
        <v>0.80555555555555514</v>
      </c>
      <c r="H84" s="23">
        <f t="shared" si="123"/>
        <v>1.388888888889217E-3</v>
      </c>
      <c r="I84" s="23"/>
      <c r="J84" s="23">
        <f t="shared" si="113"/>
        <v>0.76458333333333328</v>
      </c>
      <c r="K84" s="30">
        <f>(G84-C84)+TrCeib118[[#This Row],[Tt_tex]]</f>
        <v>4.2361111111111072E-2</v>
      </c>
      <c r="L84" s="30">
        <f>SUMIF(B$4:$B84,TrCeib118[[#This Row],[BUS]],$K$4:K84)</f>
        <v>0.16944444444444434</v>
      </c>
      <c r="M84" s="23">
        <f>_xlfn.IFNA(VLOOKUP(TrCeib118[[#This Row],[BUS]],_xlfn._xlws.SORT(VeredaTr129[[BUS]:[T2]],11,-1,FALSE),11,FALSE),0)</f>
        <v>0.14722222222222214</v>
      </c>
      <c r="N84" s="23">
        <f>+TrCeib118[[#This Row],[∑TrCeib]]+TrCeib118[[#This Row],[T2]]</f>
        <v>0.31666666666666649</v>
      </c>
      <c r="P84" s="40"/>
      <c r="S84" s="28">
        <v>10</v>
      </c>
      <c r="T84" s="23">
        <v>0.76527777777777761</v>
      </c>
      <c r="U84" s="23">
        <f t="shared" si="124"/>
        <v>5.5555555555555358E-3</v>
      </c>
      <c r="V84" s="23">
        <f>VLOOKUP(VeredaTr129[[#This Row],[HORA]],'OFERTA (3)'!B:F,5,TRUE)</f>
        <v>5.5555555555555558E-3</v>
      </c>
      <c r="W84" s="23">
        <f t="shared" si="106"/>
        <v>3.6805555555555557E-2</v>
      </c>
      <c r="X84" s="23">
        <f t="shared" si="125"/>
        <v>0.80208333333333315</v>
      </c>
      <c r="Y84" s="23">
        <f t="shared" si="126"/>
        <v>0</v>
      </c>
      <c r="Z84" s="23">
        <v>2.7777777777777679E-3</v>
      </c>
      <c r="AA84" s="23">
        <f t="shared" si="127"/>
        <v>0.76527777777777761</v>
      </c>
      <c r="AB84" s="30">
        <f t="shared" si="128"/>
        <v>3.6805555555555536E-2</v>
      </c>
      <c r="AC84" s="30">
        <f>SUMIF($S$4:S84,S84,$AB$4:AB84)</f>
        <v>0.18402777777777768</v>
      </c>
      <c r="AD84" s="23">
        <f>_xlfn.IFNA(VLOOKUP(VeredaTr129[[#This Row],[BUS]],_xlfn._xlws.SORT(TrCeib118[[BUS]:[T2]],11,-1,FALSE),11,FALSE),0)</f>
        <v>0.2541666666666666</v>
      </c>
      <c r="AE84" s="23">
        <f>+VeredaTr129[[#This Row],[∑VeredaTr]]+VeredaTr129[[#This Row],[T2]]</f>
        <v>0.43819444444444428</v>
      </c>
    </row>
    <row r="85" spans="1:31" x14ac:dyDescent="0.35">
      <c r="B85" s="28">
        <v>3</v>
      </c>
      <c r="C85" s="23">
        <v>0.7687499999999996</v>
      </c>
      <c r="D85" s="23">
        <f t="shared" si="121"/>
        <v>5.5555555555555358E-3</v>
      </c>
      <c r="E85" s="23">
        <f>VLOOKUP(TrCeib118[[#This Row],[HORA]],'OFERTA (3)'!I:M,5,TRUE)</f>
        <v>5.5555555555555558E-3</v>
      </c>
      <c r="F85" s="23">
        <f t="shared" si="105"/>
        <v>4.2361111111111106E-2</v>
      </c>
      <c r="G85" s="23">
        <f t="shared" si="122"/>
        <v>0.81111111111111067</v>
      </c>
      <c r="H85" s="23">
        <f t="shared" si="123"/>
        <v>0</v>
      </c>
      <c r="I85" s="23"/>
      <c r="J85" s="23">
        <f t="shared" si="113"/>
        <v>0.7687499999999996</v>
      </c>
      <c r="K85" s="30">
        <f>(G85-C85)+TrCeib118[[#This Row],[Tt_tex]]</f>
        <v>4.2361111111111072E-2</v>
      </c>
      <c r="L85" s="30">
        <f>SUMIF(B$4:$B85,TrCeib118[[#This Row],[BUS]],$K$4:K85)</f>
        <v>0.2118055555555555</v>
      </c>
      <c r="M85" s="23">
        <f>_xlfn.IFNA(VLOOKUP(TrCeib118[[#This Row],[BUS]],_xlfn._xlws.SORT(VeredaTr129[[BUS]:[T2]],11,-1,FALSE),11,FALSE),0)</f>
        <v>0.1826388888888888</v>
      </c>
      <c r="N85" s="23">
        <f>+TrCeib118[[#This Row],[∑TrCeib]]+TrCeib118[[#This Row],[T2]]</f>
        <v>0.39444444444444426</v>
      </c>
      <c r="P85" s="40"/>
      <c r="S85" s="28">
        <v>7</v>
      </c>
      <c r="T85" s="23">
        <v>0.77083333333333315</v>
      </c>
      <c r="U85" s="23">
        <f t="shared" si="124"/>
        <v>5.5555555555555358E-3</v>
      </c>
      <c r="V85" s="23">
        <f>VLOOKUP(VeredaTr129[[#This Row],[HORA]],'OFERTA (3)'!B:F,5,TRUE)</f>
        <v>5.5555555555555558E-3</v>
      </c>
      <c r="W85" s="23">
        <f t="shared" si="106"/>
        <v>3.6805555555555557E-2</v>
      </c>
      <c r="X85" s="23">
        <f t="shared" si="125"/>
        <v>0.80763888888888868</v>
      </c>
      <c r="Y85" s="23">
        <f t="shared" si="126"/>
        <v>0</v>
      </c>
      <c r="Z85" s="23">
        <v>2.7777777777777679E-3</v>
      </c>
      <c r="AA85" s="23">
        <f t="shared" si="127"/>
        <v>0.77083333333333315</v>
      </c>
      <c r="AB85" s="30">
        <f t="shared" si="128"/>
        <v>3.6805555555555536E-2</v>
      </c>
      <c r="AC85" s="30">
        <f>SUMIF($S$4:S85,S85,$AB$4:AB85)</f>
        <v>0.22083333333333324</v>
      </c>
      <c r="AD85" s="23">
        <f>_xlfn.IFNA(VLOOKUP(VeredaTr129[[#This Row],[BUS]],_xlfn._xlws.SORT(TrCeib118[[BUS]:[T2]],11,-1,FALSE),11,FALSE),0)</f>
        <v>0.25416666666666654</v>
      </c>
      <c r="AE85" s="23">
        <f>+VeredaTr129[[#This Row],[∑VeredaTr]]+VeredaTr129[[#This Row],[T2]]</f>
        <v>0.47499999999999976</v>
      </c>
    </row>
    <row r="86" spans="1:31" x14ac:dyDescent="0.35">
      <c r="A86" t="s">
        <v>70</v>
      </c>
      <c r="B86" s="28">
        <v>4</v>
      </c>
      <c r="C86" s="23">
        <v>0.77430555555555514</v>
      </c>
      <c r="D86" s="23">
        <f t="shared" si="121"/>
        <v>5.5555555555555358E-3</v>
      </c>
      <c r="E86" s="23">
        <f>VLOOKUP(TrCeib118[[#This Row],[HORA]],'OFERTA (3)'!I:M,5,TRUE)</f>
        <v>5.5555555555555558E-3</v>
      </c>
      <c r="F86" s="23">
        <f t="shared" si="105"/>
        <v>4.2361111111111106E-2</v>
      </c>
      <c r="G86" s="23">
        <f t="shared" si="122"/>
        <v>0.81666666666666621</v>
      </c>
      <c r="H86" s="23">
        <f t="shared" si="123"/>
        <v>0</v>
      </c>
      <c r="I86" s="23"/>
      <c r="J86" s="23">
        <f t="shared" si="113"/>
        <v>0.77430555555555514</v>
      </c>
      <c r="K86" s="30">
        <f>(G86-C86)+TrCeib118[[#This Row],[Tt_tex]]</f>
        <v>4.2361111111111072E-2</v>
      </c>
      <c r="L86" s="30">
        <f>SUMIF(B$4:$B98,TrCeib118[[#This Row],[BUS]],$K$4:K98)</f>
        <v>0.21180555555555552</v>
      </c>
      <c r="M86" s="23">
        <f>_xlfn.IFNA(VLOOKUP(TrCeib118[[#This Row],[BUS]],_xlfn._xlws.SORT(VeredaTr129[[BUS]:[T2]],11,-1,FALSE),11,FALSE),0)</f>
        <v>0.14444444444444438</v>
      </c>
      <c r="N86" s="23">
        <f>+TrCeib118[[#This Row],[∑TrCeib]]+TrCeib118[[#This Row],[T2]]</f>
        <v>0.3562499999999999</v>
      </c>
      <c r="P86" s="40"/>
      <c r="S86" s="28">
        <v>11</v>
      </c>
      <c r="T86" s="23">
        <v>0.77638888888888868</v>
      </c>
      <c r="U86" s="23">
        <f t="shared" si="124"/>
        <v>5.5555555555555358E-3</v>
      </c>
      <c r="V86" s="23">
        <f>VLOOKUP(VeredaTr129[[#This Row],[HORA]],'OFERTA (3)'!B:F,5,TRUE)</f>
        <v>5.5555555555555558E-3</v>
      </c>
      <c r="W86" s="23">
        <f t="shared" si="106"/>
        <v>3.6805555555555557E-2</v>
      </c>
      <c r="X86" s="23">
        <f t="shared" si="125"/>
        <v>0.81319444444444422</v>
      </c>
      <c r="Y86" s="23">
        <f t="shared" si="126"/>
        <v>0</v>
      </c>
      <c r="Z86" s="23">
        <v>2.7777777777775502E-3</v>
      </c>
      <c r="AA86" s="23">
        <f t="shared" si="127"/>
        <v>0.77638888888888868</v>
      </c>
      <c r="AB86" s="30">
        <f t="shared" si="128"/>
        <v>3.6805555555555536E-2</v>
      </c>
      <c r="AC86" s="30">
        <f>SUMIF($S$4:S86,S86,$AB$4:AB86)</f>
        <v>0.18402777777777768</v>
      </c>
      <c r="AD86" s="23">
        <f>_xlfn.IFNA(VLOOKUP(VeredaTr129[[#This Row],[BUS]],_xlfn._xlws.SORT(TrCeib118[[BUS]:[T2]],11,-1,FALSE),11,FALSE),0)</f>
        <v>0.25416666666666654</v>
      </c>
      <c r="AE86" s="23">
        <f>+VeredaTr129[[#This Row],[∑VeredaTr]]+VeredaTr129[[#This Row],[T2]]</f>
        <v>0.43819444444444422</v>
      </c>
    </row>
    <row r="87" spans="1:31" x14ac:dyDescent="0.35">
      <c r="B87" s="28">
        <v>14</v>
      </c>
      <c r="C87" s="23">
        <v>0.77986111111111101</v>
      </c>
      <c r="D87" s="23">
        <f t="shared" ref="D87:D98" si="129">C87-C86</f>
        <v>5.5555555555558689E-3</v>
      </c>
      <c r="E87" s="23">
        <f>VLOOKUP(TrCeib118[[#This Row],[HORA]],'OFERTA (3)'!I:M,5,TRUE)</f>
        <v>5.5555555555555558E-3</v>
      </c>
      <c r="F87" s="23">
        <f t="shared" si="105"/>
        <v>4.2361111111111106E-2</v>
      </c>
      <c r="G87" s="23">
        <f t="shared" ref="G87:G98" si="130">C87+F87</f>
        <v>0.82222222222222208</v>
      </c>
      <c r="H87" s="23">
        <f t="shared" ref="H87:H98" si="131">+(C86+E87)-C87</f>
        <v>0</v>
      </c>
      <c r="I87" s="23"/>
      <c r="J87" s="23">
        <f t="shared" ref="J87:J98" si="132">+C87+H87</f>
        <v>0.77986111111111101</v>
      </c>
      <c r="K87" s="30">
        <f>(G87-C87)+TrCeib118[[#This Row],[Tt_tex]]</f>
        <v>4.2361111111111072E-2</v>
      </c>
      <c r="L87" s="30">
        <f>SUMIF(B$4:$B87,TrCeib118[[#This Row],[BUS]],$K$4:K87)</f>
        <v>0.25416666666666654</v>
      </c>
      <c r="M87" s="23">
        <f>_xlfn.IFNA(VLOOKUP(TrCeib118[[#This Row],[BUS]],_xlfn._xlws.SORT(VeredaTr129[[BUS]:[T2]],11,-1,FALSE),11,FALSE),0)</f>
        <v>0.22083333333333327</v>
      </c>
      <c r="N87" s="23">
        <f>+TrCeib118[[#This Row],[∑TrCeib]]+TrCeib118[[#This Row],[T2]]</f>
        <v>0.47499999999999981</v>
      </c>
      <c r="P87" s="40"/>
      <c r="S87" s="28">
        <v>8</v>
      </c>
      <c r="T87" s="23">
        <v>0.78194444444444422</v>
      </c>
      <c r="U87" s="23">
        <f t="shared" si="124"/>
        <v>5.5555555555555358E-3</v>
      </c>
      <c r="V87" s="23">
        <f>VLOOKUP(VeredaTr129[[#This Row],[HORA]],'OFERTA (3)'!B:F,5,TRUE)</f>
        <v>5.5555555555555558E-3</v>
      </c>
      <c r="W87" s="23">
        <f t="shared" si="106"/>
        <v>3.6805555555555557E-2</v>
      </c>
      <c r="X87" s="23">
        <f t="shared" si="125"/>
        <v>0.81874999999999976</v>
      </c>
      <c r="Y87" s="23">
        <f t="shared" si="126"/>
        <v>0</v>
      </c>
      <c r="Z87" s="23">
        <v>2.7777777777774301E-3</v>
      </c>
      <c r="AA87" s="23">
        <f t="shared" si="127"/>
        <v>0.78194444444444422</v>
      </c>
      <c r="AB87" s="30">
        <f t="shared" si="128"/>
        <v>3.6805555555555536E-2</v>
      </c>
      <c r="AC87" s="30">
        <f>SUMIF($S$4:S87,S87,$AB$4:AB87)</f>
        <v>0.22083333333333321</v>
      </c>
      <c r="AD87" s="23">
        <f>_xlfn.IFNA(VLOOKUP(VeredaTr129[[#This Row],[BUS]],_xlfn._xlws.SORT(TrCeib118[[BUS]:[T2]],11,-1,FALSE),11,FALSE),0)</f>
        <v>0.25416666666666654</v>
      </c>
      <c r="AE87" s="23">
        <f>+VeredaTr129[[#This Row],[∑VeredaTr]]+VeredaTr129[[#This Row],[T2]]</f>
        <v>0.47499999999999976</v>
      </c>
    </row>
    <row r="88" spans="1:31" x14ac:dyDescent="0.35">
      <c r="A88" t="s">
        <v>70</v>
      </c>
      <c r="B88" s="28">
        <v>9</v>
      </c>
      <c r="C88" s="23">
        <v>0.78541666666666654</v>
      </c>
      <c r="D88" s="23">
        <f t="shared" si="129"/>
        <v>5.5555555555555358E-3</v>
      </c>
      <c r="E88" s="23">
        <f>VLOOKUP(TrCeib118[[#This Row],[HORA]],'OFERTA (3)'!I:M,5,TRUE)</f>
        <v>5.5555555555555558E-3</v>
      </c>
      <c r="F88" s="23">
        <f t="shared" si="105"/>
        <v>4.2361111111111106E-2</v>
      </c>
      <c r="G88" s="23">
        <f t="shared" si="130"/>
        <v>0.82777777777777761</v>
      </c>
      <c r="H88" s="23">
        <f t="shared" si="131"/>
        <v>0</v>
      </c>
      <c r="I88" s="23"/>
      <c r="J88" s="23">
        <f t="shared" si="132"/>
        <v>0.78541666666666654</v>
      </c>
      <c r="K88" s="30">
        <f>(G88-C88)+TrCeib118[[#This Row],[Tt_tex]]</f>
        <v>4.2361111111111072E-2</v>
      </c>
      <c r="L88" s="30">
        <f>SUMIF(B$4:$B88,TrCeib118[[#This Row],[BUS]],$K$4:K88)</f>
        <v>0.2541666666666666</v>
      </c>
      <c r="M88" s="23">
        <f>_xlfn.IFNA(VLOOKUP(TrCeib118[[#This Row],[BUS]],_xlfn._xlws.SORT(VeredaTr129[[BUS]:[T2]],11,-1,FALSE),11,FALSE),0)</f>
        <v>0.18402777777777768</v>
      </c>
      <c r="N88" s="23">
        <f>+TrCeib118[[#This Row],[∑TrCeib]]+TrCeib118[[#This Row],[T2]]</f>
        <v>0.43819444444444428</v>
      </c>
      <c r="P88" s="40"/>
      <c r="S88" s="28">
        <v>2</v>
      </c>
      <c r="T88" s="23">
        <v>0.78749999999999976</v>
      </c>
      <c r="U88" s="23">
        <f t="shared" si="124"/>
        <v>5.5555555555555358E-3</v>
      </c>
      <c r="V88" s="23">
        <f>VLOOKUP(VeredaTr129[[#This Row],[HORA]],'OFERTA (3)'!B:F,5,TRUE)</f>
        <v>5.5555555555555558E-3</v>
      </c>
      <c r="W88" s="23">
        <f t="shared" si="106"/>
        <v>3.6805555555555557E-2</v>
      </c>
      <c r="X88" s="23">
        <f t="shared" si="125"/>
        <v>0.82430555555555529</v>
      </c>
      <c r="Y88" s="23">
        <f t="shared" si="126"/>
        <v>0</v>
      </c>
      <c r="Z88" s="23">
        <v>2.7777777777773199E-3</v>
      </c>
      <c r="AA88" s="23">
        <f t="shared" si="127"/>
        <v>0.78749999999999976</v>
      </c>
      <c r="AB88" s="30">
        <f t="shared" si="128"/>
        <v>3.6805555555555536E-2</v>
      </c>
      <c r="AC88" s="30">
        <f>SUMIF($S$4:S88,S88,$AB$4:AB88)</f>
        <v>0.18402777777777768</v>
      </c>
      <c r="AD88" s="23">
        <f>_xlfn.IFNA(VLOOKUP(VeredaTr129[[#This Row],[BUS]],_xlfn._xlws.SORT(TrCeib118[[BUS]:[T2]],11,-1,FALSE),11,FALSE),0)</f>
        <v>0.25416666666666654</v>
      </c>
      <c r="AE88" s="23">
        <f>+VeredaTr129[[#This Row],[∑VeredaTr]]+VeredaTr129[[#This Row],[T2]]</f>
        <v>0.43819444444444422</v>
      </c>
    </row>
    <row r="89" spans="1:31" x14ac:dyDescent="0.35">
      <c r="A89" t="s">
        <v>70</v>
      </c>
      <c r="B89" s="28">
        <v>17</v>
      </c>
      <c r="C89" s="23">
        <v>0.79097222222222208</v>
      </c>
      <c r="D89" s="23">
        <f t="shared" si="129"/>
        <v>5.5555555555555358E-3</v>
      </c>
      <c r="E89" s="23">
        <f>VLOOKUP(TrCeib118[[#This Row],[HORA]],'OFERTA (3)'!I:M,5,TRUE)</f>
        <v>5.5555555555555558E-3</v>
      </c>
      <c r="F89" s="23">
        <f t="shared" si="105"/>
        <v>4.2361111111111106E-2</v>
      </c>
      <c r="G89" s="23">
        <f t="shared" si="130"/>
        <v>0.83333333333333315</v>
      </c>
      <c r="H89" s="23">
        <f t="shared" si="131"/>
        <v>0</v>
      </c>
      <c r="I89" s="23"/>
      <c r="J89" s="23">
        <f t="shared" si="132"/>
        <v>0.79097222222222208</v>
      </c>
      <c r="K89" s="30">
        <f>(G89-C89)+TrCeib118[[#This Row],[Tt_tex]]</f>
        <v>4.2361111111111072E-2</v>
      </c>
      <c r="L89" s="30">
        <f>SUMIF(B$4:$B89,TrCeib118[[#This Row],[BUS]],$K$4:K89)</f>
        <v>0.16944444444444429</v>
      </c>
      <c r="M89" s="23">
        <f>_xlfn.IFNA(VLOOKUP(TrCeib118[[#This Row],[BUS]],_xlfn._xlws.SORT(VeredaTr129[[BUS]:[T2]],11,-1,FALSE),11,FALSE),0)</f>
        <v>0.1472222222222222</v>
      </c>
      <c r="N89" s="23">
        <f>+TrCeib118[[#This Row],[∑TrCeib]]+TrCeib118[[#This Row],[T2]]</f>
        <v>0.31666666666666649</v>
      </c>
      <c r="P89" s="40"/>
      <c r="S89" s="28">
        <v>12</v>
      </c>
      <c r="T89" s="23">
        <v>0.79305555555555529</v>
      </c>
      <c r="U89" s="23">
        <f t="shared" si="124"/>
        <v>5.5555555555555358E-3</v>
      </c>
      <c r="V89" s="23">
        <f>VLOOKUP(VeredaTr129[[#This Row],[HORA]],'OFERTA (3)'!B:F,5,TRUE)</f>
        <v>5.5555555555555558E-3</v>
      </c>
      <c r="W89" s="23">
        <f t="shared" si="106"/>
        <v>3.6805555555555557E-2</v>
      </c>
      <c r="X89" s="23">
        <f t="shared" si="125"/>
        <v>0.82986111111111083</v>
      </c>
      <c r="Y89" s="23">
        <f t="shared" si="126"/>
        <v>0</v>
      </c>
      <c r="Z89" s="23">
        <v>2.7777777777772102E-3</v>
      </c>
      <c r="AA89" s="23">
        <f t="shared" si="127"/>
        <v>0.79305555555555529</v>
      </c>
      <c r="AB89" s="30">
        <f t="shared" si="128"/>
        <v>3.6805555555555536E-2</v>
      </c>
      <c r="AC89" s="30">
        <f>SUMIF($S$4:S89,S89,$AB$4:AB89)</f>
        <v>0.18402777777777768</v>
      </c>
      <c r="AD89" s="23">
        <f>_xlfn.IFNA(VLOOKUP(VeredaTr129[[#This Row],[BUS]],_xlfn._xlws.SORT(TrCeib118[[BUS]:[T2]],11,-1,FALSE),11,FALSE),0)</f>
        <v>0.2541666666666666</v>
      </c>
      <c r="AE89" s="23">
        <f>+VeredaTr129[[#This Row],[∑VeredaTr]]+VeredaTr129[[#This Row],[T2]]</f>
        <v>0.43819444444444428</v>
      </c>
    </row>
    <row r="90" spans="1:31" x14ac:dyDescent="0.35">
      <c r="B90" s="28">
        <v>18</v>
      </c>
      <c r="C90" s="23">
        <v>0.79652777777777761</v>
      </c>
      <c r="D90" s="23">
        <f t="shared" si="129"/>
        <v>5.5555555555555358E-3</v>
      </c>
      <c r="E90" s="23">
        <f>VLOOKUP(TrCeib118[[#This Row],[HORA]],'OFERTA (3)'!I:M,5,TRUE)</f>
        <v>5.5555555555555558E-3</v>
      </c>
      <c r="F90" s="23">
        <f t="shared" si="105"/>
        <v>4.2361111111111106E-2</v>
      </c>
      <c r="G90" s="23">
        <f t="shared" si="130"/>
        <v>0.83888888888888868</v>
      </c>
      <c r="H90" s="23">
        <f t="shared" si="131"/>
        <v>0</v>
      </c>
      <c r="I90" s="23"/>
      <c r="J90" s="23">
        <f t="shared" si="132"/>
        <v>0.79652777777777761</v>
      </c>
      <c r="K90" s="30">
        <f>(G90-C90)+TrCeib118[[#This Row],[Tt_tex]]</f>
        <v>4.2361111111111072E-2</v>
      </c>
      <c r="L90" s="30">
        <f>SUMIF(B$4:$B90,TrCeib118[[#This Row],[BUS]],$K$4:K90)</f>
        <v>0.16944444444444429</v>
      </c>
      <c r="M90" s="23">
        <f>_xlfn.IFNA(VLOOKUP(TrCeib118[[#This Row],[BUS]],_xlfn._xlws.SORT(VeredaTr129[[BUS]:[T2]],11,-1,FALSE),11,FALSE),0)</f>
        <v>0.18402777777777768</v>
      </c>
      <c r="N90" s="23">
        <f>+TrCeib118[[#This Row],[∑TrCeib]]+TrCeib118[[#This Row],[T2]]</f>
        <v>0.35347222222222197</v>
      </c>
      <c r="S90" s="28">
        <v>13</v>
      </c>
      <c r="T90" s="23">
        <v>0.79861111111111083</v>
      </c>
      <c r="U90" s="23">
        <f t="shared" ref="U90" si="133">T90-T89</f>
        <v>5.5555555555555358E-3</v>
      </c>
      <c r="V90" s="23">
        <f>VLOOKUP(VeredaTr129[[#This Row],[HORA]],'OFERTA (3)'!B:F,5,TRUE)</f>
        <v>5.5555555555555558E-3</v>
      </c>
      <c r="W90" s="23">
        <f t="shared" si="106"/>
        <v>3.6805555555555557E-2</v>
      </c>
      <c r="X90" s="23">
        <f t="shared" ref="X90" si="134">+T90+W90</f>
        <v>0.83541666666666636</v>
      </c>
      <c r="Y90" s="23">
        <f t="shared" ref="Y90" si="135">+(T89+V90)-T90</f>
        <v>0</v>
      </c>
      <c r="Z90" s="23">
        <v>2.7777777777771E-3</v>
      </c>
      <c r="AA90" s="23">
        <f t="shared" si="127"/>
        <v>0.79861111111111083</v>
      </c>
      <c r="AB90" s="30">
        <f t="shared" si="128"/>
        <v>3.6805555555555536E-2</v>
      </c>
      <c r="AC90" s="30">
        <f>SUMIF($S$4:S90,S90,$AB$4:AB90)</f>
        <v>0.22083333333333321</v>
      </c>
      <c r="AD90" s="23">
        <f>_xlfn.IFNA(VLOOKUP(VeredaTr129[[#This Row],[BUS]],_xlfn._xlws.SORT(TrCeib118[[BUS]:[T2]],11,-1,FALSE),11,FALSE),0)</f>
        <v>0.25416666666666654</v>
      </c>
      <c r="AE90" s="23">
        <f>+VeredaTr129[[#This Row],[∑VeredaTr]]+VeredaTr129[[#This Row],[T2]]</f>
        <v>0.47499999999999976</v>
      </c>
    </row>
    <row r="91" spans="1:31" x14ac:dyDescent="0.35">
      <c r="A91" t="s">
        <v>70</v>
      </c>
      <c r="B91" s="28">
        <v>10</v>
      </c>
      <c r="C91" s="23">
        <v>0.80208333333333315</v>
      </c>
      <c r="D91" s="23">
        <f t="shared" si="129"/>
        <v>5.5555555555555358E-3</v>
      </c>
      <c r="E91" s="23">
        <f>VLOOKUP(TrCeib118[[#This Row],[HORA]],'OFERTA (3)'!I:M,5,TRUE)</f>
        <v>5.5555555555555558E-3</v>
      </c>
      <c r="F91" s="23">
        <f t="shared" si="105"/>
        <v>4.2361111111111106E-2</v>
      </c>
      <c r="G91" s="23">
        <f t="shared" si="130"/>
        <v>0.84444444444444422</v>
      </c>
      <c r="H91" s="23">
        <f t="shared" si="131"/>
        <v>0</v>
      </c>
      <c r="I91" s="23"/>
      <c r="J91" s="23">
        <f t="shared" si="132"/>
        <v>0.80208333333333315</v>
      </c>
      <c r="K91" s="30">
        <f>(G91-C91)+TrCeib118[[#This Row],[Tt_tex]]</f>
        <v>4.2361111111111072E-2</v>
      </c>
      <c r="L91" s="30">
        <f>SUMIF(B$4:$B91,TrCeib118[[#This Row],[BUS]],$K$4:K91)</f>
        <v>0.2541666666666666</v>
      </c>
      <c r="M91" s="23">
        <f>_xlfn.IFNA(VLOOKUP(TrCeib118[[#This Row],[BUS]],_xlfn._xlws.SORT(VeredaTr129[[BUS]:[T2]],11,-1,FALSE),11,FALSE),0)</f>
        <v>0.18402777777777768</v>
      </c>
      <c r="N91" s="23">
        <f>+TrCeib118[[#This Row],[∑TrCeib]]+TrCeib118[[#This Row],[T2]]</f>
        <v>0.43819444444444428</v>
      </c>
      <c r="P91" s="40"/>
      <c r="S91" s="28">
        <v>3</v>
      </c>
      <c r="T91" s="23">
        <v>0.81111111111111067</v>
      </c>
      <c r="U91" s="23">
        <f t="shared" ref="U91" si="136">T91-T90</f>
        <v>1.2499999999999845E-2</v>
      </c>
      <c r="V91" s="23">
        <f>VLOOKUP(VeredaTr129[[#This Row],[HORA]],'OFERTA (3)'!B:F,5,TRUE)</f>
        <v>1.0416666666666666E-2</v>
      </c>
      <c r="W91" s="23">
        <f t="shared" si="106"/>
        <v>3.6805555555555557E-2</v>
      </c>
      <c r="X91" s="23">
        <f t="shared" ref="X91" si="137">+T91+W91</f>
        <v>0.84791666666666621</v>
      </c>
      <c r="Y91" s="23">
        <f t="shared" ref="Y91" si="138">+(T90+V91)-T91</f>
        <v>-2.0833333333332149E-3</v>
      </c>
      <c r="Z91" s="23"/>
      <c r="AA91" s="23">
        <f t="shared" si="127"/>
        <v>0.80902777777777746</v>
      </c>
      <c r="AB91" s="30">
        <f t="shared" si="128"/>
        <v>3.6805555555555536E-2</v>
      </c>
      <c r="AC91" s="30">
        <f>SUMIF($S$4:S95,S91,$AB$4:AB95)</f>
        <v>0.1826388888888888</v>
      </c>
      <c r="AD91" s="23">
        <f>_xlfn.IFNA(VLOOKUP(VeredaTr129[[#This Row],[BUS]],_xlfn._xlws.SORT(TrCeib118[[BUS]:[T2]],11,-1,FALSE),11,FALSE),0)</f>
        <v>0.25416666666666654</v>
      </c>
      <c r="AE91" s="23">
        <f>+VeredaTr129[[#This Row],[∑VeredaTr]]+VeredaTr129[[#This Row],[T2]]</f>
        <v>0.43680555555555534</v>
      </c>
    </row>
    <row r="92" spans="1:31" x14ac:dyDescent="0.35">
      <c r="A92" t="s">
        <v>70</v>
      </c>
      <c r="B92" s="28">
        <v>7</v>
      </c>
      <c r="C92" s="23">
        <v>0.80763888888888868</v>
      </c>
      <c r="D92" s="23">
        <f t="shared" si="129"/>
        <v>5.5555555555555358E-3</v>
      </c>
      <c r="E92" s="23">
        <f>VLOOKUP(TrCeib118[[#This Row],[HORA]],'OFERTA (3)'!I:M,5,TRUE)</f>
        <v>1.0416666666666666E-2</v>
      </c>
      <c r="F92" s="23">
        <f t="shared" si="105"/>
        <v>4.2361111111111106E-2</v>
      </c>
      <c r="G92" s="23">
        <f t="shared" si="130"/>
        <v>0.84999999999999976</v>
      </c>
      <c r="H92" s="23">
        <f t="shared" si="131"/>
        <v>4.8611111111110938E-3</v>
      </c>
      <c r="I92" s="23"/>
      <c r="J92" s="23">
        <f t="shared" si="132"/>
        <v>0.81249999999999978</v>
      </c>
      <c r="K92" s="30">
        <f>(G92-C92)+TrCeib118[[#This Row],[Tt_tex]]</f>
        <v>4.2361111111111072E-2</v>
      </c>
      <c r="L92" s="30">
        <f>SUMIF(B$4:$B92,TrCeib118[[#This Row],[BUS]],$K$4:K92)</f>
        <v>0.25416666666666654</v>
      </c>
      <c r="M92" s="23">
        <f>_xlfn.IFNA(VLOOKUP(TrCeib118[[#This Row],[BUS]],_xlfn._xlws.SORT(VeredaTr129[[BUS]:[T2]],11,-1,FALSE),11,FALSE),0)</f>
        <v>0.22083333333333324</v>
      </c>
      <c r="N92" s="23">
        <f>+TrCeib118[[#This Row],[∑TrCeib]]+TrCeib118[[#This Row],[T2]]</f>
        <v>0.47499999999999976</v>
      </c>
      <c r="S92" s="28">
        <v>14</v>
      </c>
      <c r="T92" s="23">
        <v>0.82222222222222208</v>
      </c>
      <c r="U92" s="23">
        <f t="shared" ref="U92" si="139">T92-T91</f>
        <v>1.1111111111111405E-2</v>
      </c>
      <c r="V92" s="23">
        <f>VLOOKUP(VeredaTr129[[#This Row],[HORA]],'OFERTA (3)'!B:F,5,TRUE)</f>
        <v>1.0416666666666666E-2</v>
      </c>
      <c r="W92" s="23">
        <f t="shared" si="106"/>
        <v>3.6805555555555557E-2</v>
      </c>
      <c r="X92" s="23">
        <f t="shared" ref="X92" si="140">+T92+W92</f>
        <v>0.85902777777777761</v>
      </c>
      <c r="Y92" s="23">
        <f t="shared" ref="Y92" si="141">+(T91+V92)-T92</f>
        <v>-6.9444444444477504E-4</v>
      </c>
      <c r="Z92" s="23"/>
      <c r="AA92" s="23">
        <f t="shared" ref="AA92:AA95" si="142">+T92+Y92</f>
        <v>0.8215277777777773</v>
      </c>
      <c r="AB92" s="30">
        <f t="shared" ref="AB92:AB95" si="143">(X92-T92)</f>
        <v>3.6805555555555536E-2</v>
      </c>
      <c r="AC92" s="30">
        <f>SUMIF($S$4:S92,S92,$AB$4:AB92)</f>
        <v>0.22083333333333327</v>
      </c>
      <c r="AD92" s="23">
        <f>_xlfn.IFNA(VLOOKUP(VeredaTr129[[#This Row],[BUS]],_xlfn._xlws.SORT(TrCeib118[[BUS]:[T2]],11,-1,FALSE),11,FALSE),0)</f>
        <v>0.25416666666666654</v>
      </c>
      <c r="AE92" s="23">
        <f>+VeredaTr129[[#This Row],[∑VeredaTr]]+VeredaTr129[[#This Row],[T2]]</f>
        <v>0.47499999999999981</v>
      </c>
    </row>
    <row r="93" spans="1:31" x14ac:dyDescent="0.35">
      <c r="B93" s="28">
        <v>11</v>
      </c>
      <c r="C93" s="23">
        <v>0.81319444444444422</v>
      </c>
      <c r="D93" s="23">
        <f t="shared" si="129"/>
        <v>5.5555555555555358E-3</v>
      </c>
      <c r="E93" s="23">
        <f>VLOOKUP(TrCeib118[[#This Row],[HORA]],'OFERTA (3)'!I:M,5,TRUE)</f>
        <v>1.0416666666666666E-2</v>
      </c>
      <c r="F93" s="23">
        <f t="shared" si="105"/>
        <v>4.2361111111111106E-2</v>
      </c>
      <c r="G93" s="23">
        <f t="shared" si="130"/>
        <v>0.85555555555555529</v>
      </c>
      <c r="H93" s="23">
        <f t="shared" si="131"/>
        <v>4.8611111111110938E-3</v>
      </c>
      <c r="I93" s="23"/>
      <c r="J93" s="23">
        <f t="shared" si="132"/>
        <v>0.81805555555555531</v>
      </c>
      <c r="K93" s="30">
        <f>(G93-C93)+TrCeib118[[#This Row],[Tt_tex]]</f>
        <v>4.2361111111111072E-2</v>
      </c>
      <c r="L93" s="30">
        <f>SUMIF(B$4:$B93,TrCeib118[[#This Row],[BUS]],$K$4:K93)</f>
        <v>0.25416666666666654</v>
      </c>
      <c r="M93" s="23">
        <f>_xlfn.IFNA(VLOOKUP(TrCeib118[[#This Row],[BUS]],_xlfn._xlws.SORT(VeredaTr129[[BUS]:[T2]],11,-1,FALSE),11,FALSE),0)</f>
        <v>0.22083333333333321</v>
      </c>
      <c r="N93" s="23">
        <f>+TrCeib118[[#This Row],[∑TrCeib]]+TrCeib118[[#This Row],[T2]]</f>
        <v>0.47499999999999976</v>
      </c>
      <c r="S93" s="28">
        <v>18</v>
      </c>
      <c r="T93" s="23">
        <v>0.83888888888888868</v>
      </c>
      <c r="U93" s="23">
        <f t="shared" ref="U93" si="144">T93-T92</f>
        <v>1.6666666666666607E-2</v>
      </c>
      <c r="V93" s="23">
        <f>VLOOKUP(VeredaTr129[[#This Row],[HORA]],'OFERTA (3)'!B:F,5,TRUE)</f>
        <v>1.7361111111111112E-2</v>
      </c>
      <c r="W93" s="23">
        <f t="shared" si="106"/>
        <v>3.6805555555555557E-2</v>
      </c>
      <c r="X93" s="23">
        <f t="shared" ref="X93" si="145">+T93+W93</f>
        <v>0.87569444444444422</v>
      </c>
      <c r="Y93" s="23">
        <f t="shared" ref="Y93" si="146">+(T92+V93)-T93</f>
        <v>6.94444444444553E-4</v>
      </c>
      <c r="Z93" s="23"/>
      <c r="AA93" s="23">
        <f t="shared" si="142"/>
        <v>0.83958333333333324</v>
      </c>
      <c r="AB93" s="30">
        <f t="shared" si="143"/>
        <v>3.6805555555555536E-2</v>
      </c>
      <c r="AC93" s="30">
        <f>SUMIF($S$4:S93,S93,$AB$4:AB93)</f>
        <v>0.18402777777777768</v>
      </c>
      <c r="AD93" s="23">
        <f>_xlfn.IFNA(VLOOKUP(VeredaTr129[[#This Row],[BUS]],_xlfn._xlws.SORT(TrCeib118[[BUS]:[T2]],11,-1,FALSE),11,FALSE),0)</f>
        <v>0.16944444444444429</v>
      </c>
      <c r="AE93" s="23">
        <f>+VeredaTr129[[#This Row],[∑VeredaTr]]+VeredaTr129[[#This Row],[T2]]</f>
        <v>0.35347222222222197</v>
      </c>
    </row>
    <row r="94" spans="1:31" x14ac:dyDescent="0.35">
      <c r="A94" t="s">
        <v>70</v>
      </c>
      <c r="B94" s="28">
        <v>8</v>
      </c>
      <c r="C94" s="23">
        <v>0.81874999999999976</v>
      </c>
      <c r="D94" s="23">
        <f t="shared" si="129"/>
        <v>5.5555555555555358E-3</v>
      </c>
      <c r="E94" s="23">
        <f>VLOOKUP(TrCeib118[[#This Row],[HORA]],'OFERTA (3)'!I:M,5,TRUE)</f>
        <v>1.0416666666666666E-2</v>
      </c>
      <c r="F94" s="23">
        <f t="shared" si="105"/>
        <v>4.2361111111111106E-2</v>
      </c>
      <c r="G94" s="23">
        <f t="shared" si="130"/>
        <v>0.86111111111111083</v>
      </c>
      <c r="H94" s="23">
        <f t="shared" si="131"/>
        <v>4.8611111111110938E-3</v>
      </c>
      <c r="I94" s="23"/>
      <c r="J94" s="23">
        <f t="shared" si="132"/>
        <v>0.82361111111111085</v>
      </c>
      <c r="K94" s="30">
        <f>(G94-C94)+TrCeib118[[#This Row],[Tt_tex]]</f>
        <v>4.2361111111111072E-2</v>
      </c>
      <c r="L94" s="30">
        <f>SUMIF(B$4:$B94,TrCeib118[[#This Row],[BUS]],$K$4:K94)</f>
        <v>0.25416666666666654</v>
      </c>
      <c r="M94" s="23">
        <f>_xlfn.IFNA(VLOOKUP(TrCeib118[[#This Row],[BUS]],_xlfn._xlws.SORT(VeredaTr129[[BUS]:[T2]],11,-1,FALSE),11,FALSE),0)</f>
        <v>0.22083333333333321</v>
      </c>
      <c r="N94" s="23">
        <f>+TrCeib118[[#This Row],[∑TrCeib]]+TrCeib118[[#This Row],[T2]]</f>
        <v>0.47499999999999976</v>
      </c>
      <c r="S94" s="28">
        <v>11</v>
      </c>
      <c r="T94" s="23">
        <v>0.85555555555555529</v>
      </c>
      <c r="U94" s="23">
        <f t="shared" ref="U94" si="147">T94-T93</f>
        <v>1.6666666666666607E-2</v>
      </c>
      <c r="V94" s="23">
        <f>VLOOKUP(VeredaTr129[[#This Row],[HORA]],'OFERTA (3)'!B:F,5,TRUE)</f>
        <v>1.7361111111111112E-2</v>
      </c>
      <c r="W94" s="23">
        <f t="shared" si="106"/>
        <v>3.6805555555555557E-2</v>
      </c>
      <c r="X94" s="23">
        <f t="shared" ref="X94" si="148">+T94+W94</f>
        <v>0.89236111111111083</v>
      </c>
      <c r="Y94" s="23">
        <f t="shared" ref="Y94" si="149">+(T93+V94)-T94</f>
        <v>6.94444444444553E-4</v>
      </c>
      <c r="Z94" s="23"/>
      <c r="AA94" s="23">
        <f t="shared" si="142"/>
        <v>0.85624999999999984</v>
      </c>
      <c r="AB94" s="30">
        <f t="shared" si="143"/>
        <v>3.6805555555555536E-2</v>
      </c>
      <c r="AC94" s="30">
        <f>SUMIF($S$4:S94,S94,$AB$4:AB94)</f>
        <v>0.22083333333333321</v>
      </c>
      <c r="AD94" s="23">
        <f>_xlfn.IFNA(VLOOKUP(VeredaTr129[[#This Row],[BUS]],_xlfn._xlws.SORT(TrCeib118[[BUS]:[T2]],11,-1,FALSE),11,FALSE),0)</f>
        <v>0.25416666666666654</v>
      </c>
      <c r="AE94" s="23">
        <f>+VeredaTr129[[#This Row],[∑VeredaTr]]+VeredaTr129[[#This Row],[T2]]</f>
        <v>0.47499999999999976</v>
      </c>
    </row>
    <row r="95" spans="1:31" x14ac:dyDescent="0.35">
      <c r="A95" t="s">
        <v>70</v>
      </c>
      <c r="B95" s="28">
        <v>2</v>
      </c>
      <c r="C95" s="23">
        <v>0.82430555555555529</v>
      </c>
      <c r="D95" s="23">
        <f t="shared" si="129"/>
        <v>5.5555555555555358E-3</v>
      </c>
      <c r="E95" s="23">
        <f>VLOOKUP(TrCeib118[[#This Row],[HORA]],'OFERTA (3)'!I:M,5,TRUE)</f>
        <v>1.0416666666666666E-2</v>
      </c>
      <c r="F95" s="23">
        <f t="shared" si="105"/>
        <v>4.2361111111111106E-2</v>
      </c>
      <c r="G95" s="23">
        <f t="shared" si="130"/>
        <v>0.86666666666666636</v>
      </c>
      <c r="H95" s="23">
        <f t="shared" si="131"/>
        <v>4.8611111111110938E-3</v>
      </c>
      <c r="I95" s="23"/>
      <c r="J95" s="23">
        <f t="shared" si="132"/>
        <v>0.82916666666666639</v>
      </c>
      <c r="K95" s="30">
        <f>(G95-C95)+TrCeib118[[#This Row],[Tt_tex]]</f>
        <v>4.2361111111111072E-2</v>
      </c>
      <c r="L95" s="30">
        <f>SUMIF(B$4:$B95,TrCeib118[[#This Row],[BUS]],$K$4:K95)</f>
        <v>0.25416666666666654</v>
      </c>
      <c r="M95" s="23">
        <f>_xlfn.IFNA(VLOOKUP(TrCeib118[[#This Row],[BUS]],_xlfn._xlws.SORT(VeredaTr129[[BUS]:[T2]],11,-1,FALSE),11,FALSE),0)</f>
        <v>0.18402777777777768</v>
      </c>
      <c r="N95" s="23">
        <f>+TrCeib118[[#This Row],[∑TrCeib]]+TrCeib118[[#This Row],[T2]]</f>
        <v>0.43819444444444422</v>
      </c>
      <c r="S95" s="28">
        <v>12</v>
      </c>
      <c r="T95" s="23">
        <v>0.8722222222222219</v>
      </c>
      <c r="U95" s="23">
        <f t="shared" ref="U95" si="150">T95-T94</f>
        <v>1.6666666666666607E-2</v>
      </c>
      <c r="V95" s="23">
        <f>VLOOKUP(VeredaTr129[[#This Row],[HORA]],'OFERTA (3)'!B:F,5,TRUE)</f>
        <v>1.7361111111111112E-2</v>
      </c>
      <c r="W95" s="23">
        <f t="shared" si="106"/>
        <v>3.6805555555555557E-2</v>
      </c>
      <c r="X95" s="23">
        <f t="shared" ref="X95" si="151">+T95+W95</f>
        <v>0.90902777777777743</v>
      </c>
      <c r="Y95" s="23">
        <f t="shared" ref="Y95" si="152">+(T94+V95)-T95</f>
        <v>6.94444444444553E-4</v>
      </c>
      <c r="Z95" s="23"/>
      <c r="AA95" s="23">
        <f t="shared" si="142"/>
        <v>0.87291666666666645</v>
      </c>
      <c r="AB95" s="30">
        <f t="shared" si="143"/>
        <v>3.6805555555555536E-2</v>
      </c>
      <c r="AC95" s="30">
        <f>SUMIF($S$4:S95,S95,$AB$4:AB95)</f>
        <v>0.22083333333333321</v>
      </c>
      <c r="AD95" s="23">
        <f>_xlfn.IFNA(VLOOKUP(VeredaTr129[[#This Row],[BUS]],_xlfn._xlws.SORT(TrCeib118[[BUS]:[T2]],11,-1,FALSE),11,FALSE),0)</f>
        <v>0.2541666666666666</v>
      </c>
      <c r="AE95" s="23">
        <f>+VeredaTr129[[#This Row],[∑VeredaTr]]+VeredaTr129[[#This Row],[T2]]</f>
        <v>0.47499999999999981</v>
      </c>
    </row>
    <row r="96" spans="1:31" x14ac:dyDescent="0.35">
      <c r="B96" s="28">
        <v>12</v>
      </c>
      <c r="C96" s="23">
        <v>0.82986111111111083</v>
      </c>
      <c r="D96" s="23">
        <f t="shared" si="129"/>
        <v>5.5555555555555358E-3</v>
      </c>
      <c r="E96" s="23">
        <f>VLOOKUP(TrCeib118[[#This Row],[HORA]],'OFERTA (3)'!I:M,5,TRUE)</f>
        <v>1.0416666666666666E-2</v>
      </c>
      <c r="F96" s="23">
        <f t="shared" si="105"/>
        <v>4.2361111111111106E-2</v>
      </c>
      <c r="G96" s="23">
        <f t="shared" si="130"/>
        <v>0.8722222222222219</v>
      </c>
      <c r="H96" s="23">
        <f t="shared" si="131"/>
        <v>4.8611111111110938E-3</v>
      </c>
      <c r="I96" s="23"/>
      <c r="J96" s="23">
        <f t="shared" si="132"/>
        <v>0.83472222222222192</v>
      </c>
      <c r="K96" s="30">
        <f>(G96-C96)+TrCeib118[[#This Row],[Tt_tex]]</f>
        <v>4.2361111111111072E-2</v>
      </c>
      <c r="L96" s="30">
        <f>SUMIF(B$4:$B96,TrCeib118[[#This Row],[BUS]],$K$4:K96)</f>
        <v>0.2541666666666666</v>
      </c>
      <c r="M96" s="23">
        <f>_xlfn.IFNA(VLOOKUP(TrCeib118[[#This Row],[BUS]],_xlfn._xlws.SORT(VeredaTr129[[BUS]:[T2]],11,-1,FALSE),11,FALSE),0)</f>
        <v>0.22083333333333321</v>
      </c>
      <c r="N96" s="23">
        <f>+TrCeib118[[#This Row],[∑TrCeib]]+TrCeib118[[#This Row],[T2]]</f>
        <v>0.47499999999999981</v>
      </c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1:31" x14ac:dyDescent="0.35">
      <c r="A97" t="s">
        <v>70</v>
      </c>
      <c r="B97" s="28">
        <v>13</v>
      </c>
      <c r="C97" s="23">
        <v>0.83541666666666636</v>
      </c>
      <c r="D97" s="23">
        <f t="shared" si="129"/>
        <v>5.5555555555555358E-3</v>
      </c>
      <c r="E97" s="23">
        <f>VLOOKUP(TrCeib118[[#This Row],[HORA]],'OFERTA (3)'!I:M,5,TRUE)</f>
        <v>1.7361111111111112E-2</v>
      </c>
      <c r="F97" s="23">
        <f t="shared" si="105"/>
        <v>4.2361111111111106E-2</v>
      </c>
      <c r="G97" s="23">
        <f t="shared" si="130"/>
        <v>0.87777777777777743</v>
      </c>
      <c r="H97" s="23">
        <f t="shared" si="131"/>
        <v>1.1805555555555625E-2</v>
      </c>
      <c r="I97" s="23"/>
      <c r="J97" s="23">
        <f t="shared" si="132"/>
        <v>0.84722222222222199</v>
      </c>
      <c r="K97" s="30">
        <f>(G97-C97)+TrCeib118[[#This Row],[Tt_tex]]</f>
        <v>4.2361111111111072E-2</v>
      </c>
      <c r="L97" s="30">
        <f>SUMIF(B$4:$B97,TrCeib118[[#This Row],[BUS]],$K$4:K97)</f>
        <v>0.25416666666666654</v>
      </c>
      <c r="M97" s="23">
        <f>_xlfn.IFNA(VLOOKUP(TrCeib118[[#This Row],[BUS]],_xlfn._xlws.SORT(VeredaTr129[[BUS]:[T2]],11,-1,FALSE),11,FALSE),0)</f>
        <v>0.22083333333333321</v>
      </c>
      <c r="N97" s="23">
        <f>+TrCeib118[[#This Row],[∑TrCeib]]+TrCeib118[[#This Row],[T2]]</f>
        <v>0.47499999999999976</v>
      </c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1:31" x14ac:dyDescent="0.35">
      <c r="A98" t="s">
        <v>70</v>
      </c>
      <c r="B98" s="28">
        <v>3</v>
      </c>
      <c r="C98" s="23">
        <v>0.84791666666666621</v>
      </c>
      <c r="D98" s="23">
        <f t="shared" si="129"/>
        <v>1.2499999999999845E-2</v>
      </c>
      <c r="E98" s="23">
        <f>VLOOKUP(TrCeib118[[#This Row],[HORA]],'OFERTA (3)'!I:M,5,TRUE)</f>
        <v>1.7361111111111112E-2</v>
      </c>
      <c r="F98" s="23">
        <f t="shared" si="105"/>
        <v>4.2361111111111106E-2</v>
      </c>
      <c r="G98" s="23">
        <f t="shared" si="130"/>
        <v>0.89027777777777728</v>
      </c>
      <c r="H98" s="23">
        <f t="shared" si="131"/>
        <v>4.8611111111113159E-3</v>
      </c>
      <c r="I98" s="23"/>
      <c r="J98" s="23">
        <f t="shared" si="132"/>
        <v>0.85277777777777752</v>
      </c>
      <c r="K98" s="30">
        <f>(G98-C98)+TrCeib118[[#This Row],[Tt_tex]]</f>
        <v>4.2361111111111072E-2</v>
      </c>
      <c r="L98" s="30">
        <f>SUMIF(B$4:$B98,TrCeib118[[#This Row],[BUS]],$K$4:K98)</f>
        <v>0.25416666666666654</v>
      </c>
      <c r="M98" s="23">
        <f>_xlfn.IFNA(VLOOKUP(TrCeib118[[#This Row],[BUS]],_xlfn._xlws.SORT(VeredaTr129[[BUS]:[T2]],11,-1,FALSE),11,FALSE),0)</f>
        <v>0.1826388888888888</v>
      </c>
      <c r="N98" s="23">
        <f>+TrCeib118[[#This Row],[∑TrCeib]]+TrCeib118[[#This Row],[T2]]</f>
        <v>0.43680555555555534</v>
      </c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1:31" x14ac:dyDescent="0.3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1:31" x14ac:dyDescent="0.3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1:31" x14ac:dyDescent="0.3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1:31" x14ac:dyDescent="0.3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1:31" x14ac:dyDescent="0.3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1:31" x14ac:dyDescent="0.3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1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1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1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1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1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1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1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1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31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31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31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31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31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  <row r="139" spans="3:31" x14ac:dyDescent="0.35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</row>
    <row r="140" spans="3:31" x14ac:dyDescent="0.35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5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</sheetData>
  <mergeCells count="2">
    <mergeCell ref="A1:B1"/>
    <mergeCell ref="R1:S1"/>
  </mergeCells>
  <conditionalFormatting sqref="A1:A1048576 R3:R95">
    <cfRule type="containsText" dxfId="131" priority="3" operator="containsText" text="u">
      <formula>NOT(ISERROR(SEARCH("u",A1)))</formula>
    </cfRule>
    <cfRule type="containsText" dxfId="130" priority="4" operator="containsText" text="i">
      <formula>NOT(ISERROR(SEARCH("i",A1)))</formula>
    </cfRule>
  </conditionalFormatting>
  <conditionalFormatting sqref="R1">
    <cfRule type="containsText" dxfId="129" priority="1" operator="containsText" text="u">
      <formula>NOT(ISERROR(SEARCH("u",R1)))</formula>
    </cfRule>
    <cfRule type="containsText" dxfId="128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29645-B611-449D-84DD-4DA26847AA96}">
  <sheetPr codeName="Hoja24"/>
  <dimension ref="A1:AM136"/>
  <sheetViews>
    <sheetView showGridLines="0" zoomScale="105" zoomScaleNormal="105" workbookViewId="0">
      <pane ySplit="3" topLeftCell="A4" activePane="bottomLeft" state="frozen"/>
      <selection pane="bottomLeft" activeCell="T9" sqref="T9"/>
    </sheetView>
  </sheetViews>
  <sheetFormatPr baseColWidth="10" defaultColWidth="11.453125" defaultRowHeight="14.5" x14ac:dyDescent="0.35"/>
  <cols>
    <col min="1" max="1" width="5.453125" bestFit="1" customWidth="1"/>
    <col min="2" max="2" width="7.08984375" style="28" customWidth="1"/>
    <col min="3" max="3" width="10.1796875" bestFit="1" customWidth="1"/>
    <col min="4" max="4" width="8.81640625" bestFit="1" customWidth="1"/>
    <col min="5" max="6" width="7.90625" bestFit="1" customWidth="1"/>
    <col min="7" max="7" width="9.81640625" customWidth="1"/>
    <col min="8" max="8" width="9.81640625" style="23" customWidth="1"/>
    <col min="9" max="9" width="9.81640625" customWidth="1"/>
    <col min="10" max="10" width="11.08984375" bestFit="1" customWidth="1"/>
    <col min="11" max="13" width="2.1796875" hidden="1" customWidth="1"/>
    <col min="14" max="14" width="7.90625" bestFit="1" customWidth="1"/>
    <col min="15" max="15" width="0.6328125" customWidth="1"/>
    <col min="16" max="17" width="0.6328125" style="31" customWidth="1"/>
    <col min="18" max="18" width="5.453125" bestFit="1" customWidth="1"/>
    <col min="19" max="19" width="7.36328125" style="28" customWidth="1"/>
    <col min="20" max="20" width="10.1796875" bestFit="1" customWidth="1"/>
    <col min="21" max="21" width="8.81640625" bestFit="1" customWidth="1"/>
    <col min="22" max="23" width="7.90625" bestFit="1" customWidth="1"/>
    <col min="24" max="24" width="11.81640625" bestFit="1" customWidth="1"/>
    <col min="25" max="25" width="10.6328125" bestFit="1" customWidth="1"/>
    <col min="26" max="26" width="10.81640625" bestFit="1" customWidth="1"/>
    <col min="27" max="27" width="11.08984375" bestFit="1" customWidth="1"/>
    <col min="28" max="29" width="7.36328125" hidden="1" customWidth="1"/>
    <col min="30" max="30" width="14.1796875" hidden="1" customWidth="1"/>
    <col min="31" max="31" width="7.90625" bestFit="1" customWidth="1"/>
    <col min="32" max="33" width="2" bestFit="1" customWidth="1"/>
    <col min="34" max="34" width="4" bestFit="1" customWidth="1"/>
    <col min="35" max="37" width="3" bestFit="1" customWidth="1"/>
    <col min="38" max="38" width="8.81640625" bestFit="1" customWidth="1"/>
  </cols>
  <sheetData>
    <row r="1" spans="1:39" x14ac:dyDescent="0.35">
      <c r="A1" s="106" t="s">
        <v>88</v>
      </c>
      <c r="B1" s="106"/>
      <c r="D1" s="25" t="s">
        <v>89</v>
      </c>
      <c r="E1" s="7" t="s">
        <v>73</v>
      </c>
      <c r="F1" s="25" t="s">
        <v>93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93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5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5">
      <c r="A4" t="s">
        <v>63</v>
      </c>
      <c r="B4" s="48">
        <v>1</v>
      </c>
      <c r="C4" s="23">
        <v>0.21527777777777779</v>
      </c>
      <c r="D4" s="23"/>
      <c r="E4" s="23"/>
      <c r="F4" s="23">
        <f t="shared" ref="F4:F40" si="0">+$D$2</f>
        <v>4.2361111111111106E-2</v>
      </c>
      <c r="G4" s="23">
        <f>C4+F4</f>
        <v>0.25763888888888892</v>
      </c>
      <c r="I4" s="23"/>
      <c r="J4" s="23">
        <f t="shared" ref="J4:J23" si="1">+C4+H4</f>
        <v>0.21527777777777779</v>
      </c>
      <c r="K4" s="30">
        <f>(G4-C4)+TrCeib116[[#This Row],[Tt_tex]]</f>
        <v>4.2361111111111127E-2</v>
      </c>
      <c r="L4" s="30">
        <f>SUMIF(B$4:$B4,TrCeib116[[#This Row],[BUS]],$K$4:K4)</f>
        <v>4.2361111111111127E-2</v>
      </c>
      <c r="M4" s="23">
        <f>_xlfn.IFNA(VLOOKUP(TrCeib116[[#This Row],[BUS]],_xlfn._xlws.SORT(VeredaTr127[[BUS]:[T2]],11,-1,FALSE),11,FALSE),0)</f>
        <v>0.14722222222222214</v>
      </c>
      <c r="N4" s="23">
        <f>+TrCeib116[[#This Row],[∑TrCeib]]+TrCeib116[[#This Row],[T2]]</f>
        <v>0.18958333333333327</v>
      </c>
      <c r="O4" s="23"/>
      <c r="P4"/>
      <c r="Q4"/>
      <c r="R4" t="s">
        <v>63</v>
      </c>
      <c r="S4" s="49">
        <v>6</v>
      </c>
      <c r="T4" s="23">
        <v>0.21527777777777779</v>
      </c>
      <c r="U4" s="23"/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18" si="2">+T4+Y4</f>
        <v>0.21527777777777779</v>
      </c>
      <c r="AB4" s="30">
        <f t="shared" ref="AB4:AB18" si="3">(X4-T4)</f>
        <v>3.6805555555555536E-2</v>
      </c>
      <c r="AC4" s="30">
        <f>SUMIF($S$4:S4,S4,$AB$4:AB4)</f>
        <v>3.6805555555555536E-2</v>
      </c>
      <c r="AD4" s="23">
        <f>_xlfn.IFNA(VLOOKUP(VeredaTr127[[#This Row],[BUS]],_xlfn._xlws.SORT(TrCeib116[[BUS]:[T2]],11,-1,FALSE),11,FALSE),0)</f>
        <v>0.33749999999999986</v>
      </c>
      <c r="AE4" s="23">
        <f>+VeredaTr127[[#This Row],[∑VeredaTr]]+VeredaTr127[[#This Row],[T2]]</f>
        <v>0.37430555555555539</v>
      </c>
      <c r="AL4">
        <v>1</v>
      </c>
      <c r="AM4" s="41">
        <f>VLOOKUP(AL4,_xlfn._xlws.SORT(VeredaTr127[[BUS]:[∑]],13,-1,FALSE),13,FALSE)</f>
        <v>0.35902777777777767</v>
      </c>
    </row>
    <row r="5" spans="1:39" x14ac:dyDescent="0.35">
      <c r="A5" t="s">
        <v>63</v>
      </c>
      <c r="B5" s="48">
        <v>2</v>
      </c>
      <c r="C5" s="23">
        <v>0.22569444444444445</v>
      </c>
      <c r="D5" s="23">
        <f>C5-C4</f>
        <v>1.0416666666666657E-2</v>
      </c>
      <c r="E5" s="23">
        <v>1.0416666666666666E-2</v>
      </c>
      <c r="F5" s="23">
        <f t="shared" si="0"/>
        <v>4.2361111111111106E-2</v>
      </c>
      <c r="G5" s="23">
        <f t="shared" ref="G5:G23" si="4">C5+F5</f>
        <v>0.26805555555555555</v>
      </c>
      <c r="H5" s="23">
        <f t="shared" ref="H5:H27" si="5">+(C4+E5)-C5</f>
        <v>0</v>
      </c>
      <c r="I5" s="23"/>
      <c r="J5" s="23">
        <f t="shared" si="1"/>
        <v>0.22569444444444445</v>
      </c>
      <c r="K5" s="30">
        <f>(G5-C5)+TrCeib116[[#This Row],[Tt_tex]]</f>
        <v>4.2361111111111099E-2</v>
      </c>
      <c r="L5" s="30">
        <f>SUMIF(B$4:$B5,TrCeib116[[#This Row],[BUS]],$K$4:K5)</f>
        <v>4.2361111111111099E-2</v>
      </c>
      <c r="M5" s="23">
        <f>_xlfn.IFNA(VLOOKUP(TrCeib116[[#This Row],[BUS]],_xlfn._xlws.SORT(VeredaTr127[[BUS]:[T2]],11,-1,FALSE),11,FALSE),0)</f>
        <v>0.14722222222222214</v>
      </c>
      <c r="N5" s="23">
        <f>+TrCeib116[[#This Row],[∑TrCeib]]+TrCeib116[[#This Row],[T2]]</f>
        <v>0.18958333333333324</v>
      </c>
      <c r="O5" s="23"/>
      <c r="P5" s="22"/>
      <c r="Q5" s="22"/>
      <c r="R5" t="s">
        <v>63</v>
      </c>
      <c r="S5" s="49">
        <v>7</v>
      </c>
      <c r="T5" s="23">
        <v>0.22430555555555556</v>
      </c>
      <c r="U5" s="23">
        <f t="shared" ref="U5:U18" si="6">T5-T4</f>
        <v>9.0277777777777735E-3</v>
      </c>
      <c r="V5" s="23">
        <v>9.0277777777777787E-3</v>
      </c>
      <c r="W5" s="23">
        <f>+$U$2</f>
        <v>3.6805555555555557E-2</v>
      </c>
      <c r="X5" s="23">
        <f>+T5+W5</f>
        <v>0.26111111111111113</v>
      </c>
      <c r="Y5" s="23">
        <f t="shared" ref="Y5:Y7" si="7">+(T4+V5)-T5</f>
        <v>0</v>
      </c>
      <c r="Z5" s="23"/>
      <c r="AA5" s="23">
        <f t="shared" si="2"/>
        <v>0.22430555555555556</v>
      </c>
      <c r="AB5" s="30">
        <f t="shared" si="3"/>
        <v>3.6805555555555564E-2</v>
      </c>
      <c r="AC5" s="30">
        <f>SUMIF($S$4:S5,S5,$AB$4:AB5)</f>
        <v>3.6805555555555564E-2</v>
      </c>
      <c r="AD5" s="23">
        <f>_xlfn.IFNA(VLOOKUP(VeredaTr127[[#This Row],[BUS]],_xlfn._xlws.SORT(TrCeib116[[BUS]:[T2]],11,-1,FALSE),11,FALSE),0)</f>
        <v>0.16944444444444445</v>
      </c>
      <c r="AE5" s="23">
        <f>+VeredaTr127[[#This Row],[∑VeredaTr]]+VeredaTr127[[#This Row],[T2]]</f>
        <v>0.20625000000000002</v>
      </c>
      <c r="AL5">
        <v>2</v>
      </c>
      <c r="AM5" s="41">
        <f>VLOOKUP(AL5,_xlfn._xlws.SORT(VeredaTr127[[BUS]:[∑]],13,-1,FALSE),13,FALSE)</f>
        <v>0.35902777777777772</v>
      </c>
    </row>
    <row r="6" spans="1:39" x14ac:dyDescent="0.35">
      <c r="A6" t="s">
        <v>63</v>
      </c>
      <c r="B6" s="48">
        <v>3</v>
      </c>
      <c r="C6" s="23">
        <v>0.2361111111111111</v>
      </c>
      <c r="D6" s="23">
        <f t="shared" ref="D6:D40" si="8">C6-C5</f>
        <v>1.0416666666666657E-2</v>
      </c>
      <c r="E6" s="23">
        <v>1.0416666666666666E-2</v>
      </c>
      <c r="F6" s="23">
        <f t="shared" si="0"/>
        <v>4.2361111111111106E-2</v>
      </c>
      <c r="G6" s="23">
        <f t="shared" si="4"/>
        <v>0.27847222222222223</v>
      </c>
      <c r="H6" s="23">
        <f t="shared" si="5"/>
        <v>0</v>
      </c>
      <c r="I6" s="23"/>
      <c r="J6" s="23">
        <f t="shared" si="1"/>
        <v>0.2361111111111111</v>
      </c>
      <c r="K6" s="30">
        <f>(G6-C6)+TrCeib116[[#This Row],[Tt_tex]]</f>
        <v>4.2361111111111127E-2</v>
      </c>
      <c r="L6" s="30">
        <f>SUMIF(B$4:$B6,TrCeib116[[#This Row],[BUS]],$K$4:K6)</f>
        <v>4.2361111111111127E-2</v>
      </c>
      <c r="M6" s="23">
        <f>_xlfn.IFNA(VLOOKUP(TrCeib116[[#This Row],[BUS]],_xlfn._xlws.SORT(VeredaTr127[[BUS]:[T2]],11,-1,FALSE),11,FALSE),0)</f>
        <v>0.22083333333333321</v>
      </c>
      <c r="N6" s="23">
        <f>+TrCeib116[[#This Row],[∑TrCeib]]+TrCeib116[[#This Row],[T2]]</f>
        <v>0.26319444444444434</v>
      </c>
      <c r="O6" s="23"/>
      <c r="P6" s="22"/>
      <c r="Q6" s="22"/>
      <c r="R6" t="s">
        <v>63</v>
      </c>
      <c r="S6" s="49">
        <v>8</v>
      </c>
      <c r="T6" s="23">
        <v>0.23333333333333331</v>
      </c>
      <c r="U6" s="23">
        <f t="shared" si="6"/>
        <v>9.0277777777777457E-3</v>
      </c>
      <c r="V6" s="23">
        <v>9.0277777777777787E-3</v>
      </c>
      <c r="W6" s="23">
        <f t="shared" ref="W6:W18" si="9">+$U$2</f>
        <v>3.6805555555555557E-2</v>
      </c>
      <c r="X6" s="23">
        <f t="shared" ref="X6:X18" si="10">+T6+W6</f>
        <v>0.27013888888888887</v>
      </c>
      <c r="Y6" s="23">
        <f t="shared" si="7"/>
        <v>0</v>
      </c>
      <c r="Z6" s="23"/>
      <c r="AA6" s="23">
        <f t="shared" si="2"/>
        <v>0.23333333333333331</v>
      </c>
      <c r="AB6" s="30">
        <f t="shared" si="3"/>
        <v>3.6805555555555564E-2</v>
      </c>
      <c r="AC6" s="30">
        <f>SUMIF($S$4:S6,S6,$AB$4:AB6)</f>
        <v>3.6805555555555564E-2</v>
      </c>
      <c r="AD6" s="23">
        <f>_xlfn.IFNA(VLOOKUP(VeredaTr127[[#This Row],[BUS]],_xlfn._xlws.SORT(TrCeib116[[BUS]:[T2]],11,-1,FALSE),11,FALSE),0)</f>
        <v>0.33888888888888874</v>
      </c>
      <c r="AE6" s="23">
        <f>+VeredaTr127[[#This Row],[∑VeredaTr]]+VeredaTr127[[#This Row],[T2]]</f>
        <v>0.37569444444444433</v>
      </c>
      <c r="AL6">
        <v>3</v>
      </c>
      <c r="AM6" s="41">
        <f>VLOOKUP(AL6,_xlfn._xlws.SORT(VeredaTr127[[BUS]:[∑]],13,-1,FALSE),13,FALSE)</f>
        <v>0.47499999999999976</v>
      </c>
    </row>
    <row r="7" spans="1:39" x14ac:dyDescent="0.35">
      <c r="A7" t="s">
        <v>63</v>
      </c>
      <c r="B7" s="48">
        <v>4</v>
      </c>
      <c r="C7" s="23">
        <v>0.24652777777777776</v>
      </c>
      <c r="D7" s="23">
        <f t="shared" si="8"/>
        <v>1.0416666666666657E-2</v>
      </c>
      <c r="E7" s="23">
        <v>1.0416666666666666E-2</v>
      </c>
      <c r="F7" s="47">
        <v>4.0972222222222222E-2</v>
      </c>
      <c r="G7" s="23">
        <f t="shared" si="4"/>
        <v>0.28749999999999998</v>
      </c>
      <c r="H7" s="23">
        <f t="shared" si="5"/>
        <v>0</v>
      </c>
      <c r="I7" s="23"/>
      <c r="J7" s="23">
        <f t="shared" si="1"/>
        <v>0.24652777777777776</v>
      </c>
      <c r="K7" s="30">
        <f>(G7-C7)+TrCeib116[[#This Row],[Tt_tex]]</f>
        <v>4.0972222222222215E-2</v>
      </c>
      <c r="L7" s="30">
        <f>SUMIF(B$4:$B7,TrCeib116[[#This Row],[BUS]],$K$4:K7)</f>
        <v>4.0972222222222215E-2</v>
      </c>
      <c r="M7" s="23">
        <f>_xlfn.IFNA(VLOOKUP(TrCeib116[[#This Row],[BUS]],_xlfn._xlws.SORT(VeredaTr127[[BUS]:[T2]],11,-1,FALSE),11,FALSE),0)</f>
        <v>0.18402777777777768</v>
      </c>
      <c r="N7" s="23">
        <f>+TrCeib116[[#This Row],[∑TrCeib]]+TrCeib116[[#This Row],[T2]]</f>
        <v>0.22499999999999989</v>
      </c>
      <c r="O7" s="23"/>
      <c r="P7" s="22"/>
      <c r="Q7" s="22"/>
      <c r="R7" t="s">
        <v>63</v>
      </c>
      <c r="S7" s="49">
        <v>9</v>
      </c>
      <c r="T7" s="23">
        <v>0.24236111111111111</v>
      </c>
      <c r="U7" s="23">
        <f t="shared" si="6"/>
        <v>9.0277777777778012E-3</v>
      </c>
      <c r="V7" s="23">
        <v>9.0277777777777787E-3</v>
      </c>
      <c r="W7" s="23">
        <f t="shared" si="9"/>
        <v>3.6805555555555557E-2</v>
      </c>
      <c r="X7" s="23">
        <f t="shared" si="10"/>
        <v>0.27916666666666667</v>
      </c>
      <c r="Y7" s="23">
        <f t="shared" si="7"/>
        <v>0</v>
      </c>
      <c r="Z7" s="23"/>
      <c r="AA7" s="23">
        <f t="shared" si="2"/>
        <v>0.24236111111111111</v>
      </c>
      <c r="AB7" s="30">
        <f t="shared" si="3"/>
        <v>3.6805555555555564E-2</v>
      </c>
      <c r="AC7" s="30">
        <f>SUMIF($S$4:S7,S7,$AB$4:AB7)</f>
        <v>3.6805555555555564E-2</v>
      </c>
      <c r="AD7" s="23">
        <f>_xlfn.IFNA(VLOOKUP(VeredaTr127[[#This Row],[BUS]],_xlfn._xlws.SORT(TrCeib116[[BUS]:[T2]],11,-1,FALSE),11,FALSE),0)</f>
        <v>0.21111111111111103</v>
      </c>
      <c r="AE7" s="23">
        <f>+VeredaTr127[[#This Row],[∑VeredaTr]]+VeredaTr127[[#This Row],[T2]]</f>
        <v>0.24791666666666659</v>
      </c>
      <c r="AL7">
        <v>4</v>
      </c>
      <c r="AM7" s="41">
        <f>VLOOKUP(AL7,_xlfn._xlws.SORT(VeredaTr127[[BUS]:[∑]],13,-1,FALSE),13,FALSE)</f>
        <v>0.39444444444444426</v>
      </c>
    </row>
    <row r="8" spans="1:39" x14ac:dyDescent="0.35">
      <c r="B8" s="49">
        <v>6</v>
      </c>
      <c r="C8" s="23">
        <v>0.25208333333333333</v>
      </c>
      <c r="D8" s="23">
        <f t="shared" si="8"/>
        <v>5.5555555555555636E-3</v>
      </c>
      <c r="E8" s="23">
        <v>1.0416666666666666E-2</v>
      </c>
      <c r="F8" s="47">
        <v>4.0972222222222222E-2</v>
      </c>
      <c r="G8" s="23">
        <f t="shared" si="4"/>
        <v>0.29305555555555557</v>
      </c>
      <c r="H8" s="23">
        <f t="shared" si="5"/>
        <v>4.8611111111110938E-3</v>
      </c>
      <c r="I8" s="23"/>
      <c r="J8" s="23">
        <f t="shared" si="1"/>
        <v>0.25694444444444442</v>
      </c>
      <c r="K8" s="30">
        <f>(G8-C8)+TrCeib116[[#This Row],[Tt_tex]]</f>
        <v>4.0972222222222243E-2</v>
      </c>
      <c r="L8" s="30">
        <f>SUMIF(B$4:$B8,TrCeib116[[#This Row],[BUS]],$K$4:K8)</f>
        <v>4.0972222222222243E-2</v>
      </c>
      <c r="M8" s="23">
        <f>_xlfn.IFNA(VLOOKUP(TrCeib116[[#This Row],[BUS]],_xlfn._xlws.SORT(VeredaTr127[[BUS]:[T2]],11,-1,FALSE),11,FALSE),0)</f>
        <v>0.29444444444444429</v>
      </c>
      <c r="N8" s="23">
        <f>+TrCeib116[[#This Row],[∑TrCeib]]+TrCeib116[[#This Row],[T2]]</f>
        <v>0.33541666666666653</v>
      </c>
      <c r="O8" s="23"/>
      <c r="P8" s="22"/>
      <c r="Q8" s="22"/>
      <c r="R8" t="s">
        <v>63</v>
      </c>
      <c r="S8" s="49">
        <v>10</v>
      </c>
      <c r="T8" s="23">
        <v>0.25138888888888888</v>
      </c>
      <c r="U8" s="23">
        <f t="shared" si="6"/>
        <v>9.0277777777777735E-3</v>
      </c>
      <c r="V8" s="23">
        <v>9.0277777777777787E-3</v>
      </c>
      <c r="W8" s="23">
        <f>+$U$2</f>
        <v>3.6805555555555557E-2</v>
      </c>
      <c r="X8" s="23">
        <f>+T8+W8</f>
        <v>0.28819444444444442</v>
      </c>
      <c r="Y8" s="23">
        <f>+(T7+V8)-T8</f>
        <v>0</v>
      </c>
      <c r="Z8" s="23"/>
      <c r="AA8" s="23">
        <f>+T8+Y8</f>
        <v>0.25138888888888888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_xlfn.IFNA(VLOOKUP(VeredaTr127[[#This Row],[BUS]],_xlfn._xlws.SORT(TrCeib116[[BUS]:[T2]],11,-1,FALSE),11,FALSE),0)</f>
        <v>0.16944444444444445</v>
      </c>
      <c r="AE8" s="23">
        <f>+VeredaTr127[[#This Row],[∑VeredaTr]]+VeredaTr127[[#This Row],[T2]]</f>
        <v>0.20624999999999999</v>
      </c>
      <c r="AL8">
        <v>5</v>
      </c>
      <c r="AM8" s="41" t="e">
        <f>VLOOKUP(AL8,_xlfn._xlws.SORT(VeredaTr127[[BUS]:[∑]],13,-1,FALSE),13,FALSE)</f>
        <v>#N/A</v>
      </c>
    </row>
    <row r="9" spans="1:39" x14ac:dyDescent="0.35">
      <c r="B9" s="49">
        <v>7</v>
      </c>
      <c r="C9" s="23">
        <v>0.26111111111111113</v>
      </c>
      <c r="D9" s="23">
        <f t="shared" si="8"/>
        <v>9.0277777777778012E-3</v>
      </c>
      <c r="E9" s="23">
        <v>1.0416666666666666E-2</v>
      </c>
      <c r="F9" s="23">
        <f t="shared" si="0"/>
        <v>4.2361111111111106E-2</v>
      </c>
      <c r="G9" s="23">
        <f t="shared" si="4"/>
        <v>0.30347222222222225</v>
      </c>
      <c r="H9" s="23">
        <f t="shared" si="5"/>
        <v>1.388888888888884E-3</v>
      </c>
      <c r="I9" s="23"/>
      <c r="J9" s="23">
        <f t="shared" si="1"/>
        <v>0.26250000000000001</v>
      </c>
      <c r="K9" s="30">
        <f>(G9-C9)+TrCeib116[[#This Row],[Tt_tex]]</f>
        <v>4.2361111111111127E-2</v>
      </c>
      <c r="L9" s="30">
        <f>SUMIF(B$4:$B9,TrCeib116[[#This Row],[BUS]],$K$4:K9)</f>
        <v>4.2361111111111127E-2</v>
      </c>
      <c r="M9" s="23">
        <f>_xlfn.IFNA(VLOOKUP(TrCeib116[[#This Row],[BUS]],_xlfn._xlws.SORT(VeredaTr127[[BUS]:[T2]],11,-1,FALSE),11,FALSE),0)</f>
        <v>0.18402777777777771</v>
      </c>
      <c r="N9" s="23">
        <f>+TrCeib116[[#This Row],[∑TrCeib]]+TrCeib116[[#This Row],[T2]]</f>
        <v>0.22638888888888883</v>
      </c>
      <c r="O9" s="23"/>
      <c r="P9" s="22"/>
      <c r="Q9" s="22"/>
      <c r="S9" s="48">
        <v>1</v>
      </c>
      <c r="T9" s="23">
        <v>0.26041666666666669</v>
      </c>
      <c r="U9" s="23">
        <f t="shared" si="6"/>
        <v>9.0277777777778012E-3</v>
      </c>
      <c r="V9" s="23">
        <v>9.0277777777777787E-3</v>
      </c>
      <c r="W9" s="23">
        <f>+$U$2</f>
        <v>3.6805555555555557E-2</v>
      </c>
      <c r="X9" s="23">
        <f>+T9+W9</f>
        <v>0.29722222222222222</v>
      </c>
      <c r="Y9" s="23">
        <f t="shared" ref="Y9:Y18" si="11">+(T8+V9)-T9</f>
        <v>0</v>
      </c>
      <c r="Z9" s="23">
        <v>2.7777777777777679E-3</v>
      </c>
      <c r="AA9" s="23">
        <f>+T9+Y9</f>
        <v>0.26041666666666669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_xlfn.IFNA(VLOOKUP(VeredaTr127[[#This Row],[BUS]],_xlfn._xlws.SORT(TrCeib116[[BUS]:[T2]],11,-1,FALSE),11,FALSE),0)</f>
        <v>0.21180555555555552</v>
      </c>
      <c r="AE9" s="23">
        <f>+VeredaTr127[[#This Row],[∑VeredaTr]]+VeredaTr127[[#This Row],[T2]]</f>
        <v>0.24861111111111106</v>
      </c>
      <c r="AL9">
        <v>6</v>
      </c>
      <c r="AM9" s="41">
        <f>VLOOKUP(AL9,_xlfn._xlws.SORT(VeredaTr127[[BUS]:[∑]],13,-1,FALSE),13,FALSE)</f>
        <v>0.6319444444444442</v>
      </c>
    </row>
    <row r="10" spans="1:39" x14ac:dyDescent="0.35">
      <c r="B10" s="49">
        <v>8</v>
      </c>
      <c r="C10" s="23">
        <v>0.27013888888888887</v>
      </c>
      <c r="D10" s="23">
        <f t="shared" si="8"/>
        <v>9.0277777777777457E-3</v>
      </c>
      <c r="E10" s="23">
        <v>1.0416666666666666E-2</v>
      </c>
      <c r="F10" s="23">
        <f t="shared" si="0"/>
        <v>4.2361111111111106E-2</v>
      </c>
      <c r="G10" s="23">
        <f t="shared" si="4"/>
        <v>0.3125</v>
      </c>
      <c r="H10" s="23">
        <f t="shared" si="5"/>
        <v>1.3888888888889395E-3</v>
      </c>
      <c r="I10" s="23"/>
      <c r="J10" s="23">
        <f t="shared" si="1"/>
        <v>0.27152777777777781</v>
      </c>
      <c r="K10" s="30">
        <f>(G10-C10)+TrCeib116[[#This Row],[Tt_tex]]</f>
        <v>4.2361111111111127E-2</v>
      </c>
      <c r="L10" s="30">
        <f>SUMIF(B$4:$B10,TrCeib116[[#This Row],[BUS]],$K$4:K10)</f>
        <v>4.2361111111111127E-2</v>
      </c>
      <c r="M10" s="23">
        <f>_xlfn.IFNA(VLOOKUP(TrCeib116[[#This Row],[BUS]],_xlfn._xlws.SORT(VeredaTr127[[BUS]:[T2]],11,-1,FALSE),11,FALSE),0)</f>
        <v>0.33124999999999982</v>
      </c>
      <c r="N10" s="23">
        <f>+TrCeib116[[#This Row],[∑TrCeib]]+TrCeib116[[#This Row],[T2]]</f>
        <v>0.37361111111111095</v>
      </c>
      <c r="O10" s="23"/>
      <c r="P10" s="22"/>
      <c r="Q10" s="22"/>
      <c r="S10" s="48">
        <v>2</v>
      </c>
      <c r="T10" s="23">
        <v>0.26944444444444449</v>
      </c>
      <c r="U10" s="23">
        <f t="shared" si="6"/>
        <v>9.0277777777778012E-3</v>
      </c>
      <c r="V10" s="23">
        <v>9.0277777777777787E-3</v>
      </c>
      <c r="W10" s="23">
        <f t="shared" si="9"/>
        <v>3.6805555555555557E-2</v>
      </c>
      <c r="X10" s="23">
        <f t="shared" si="10"/>
        <v>0.30625000000000002</v>
      </c>
      <c r="Y10" s="23">
        <f t="shared" si="11"/>
        <v>0</v>
      </c>
      <c r="Z10" s="23">
        <v>1.3888888888889395E-3</v>
      </c>
      <c r="AA10" s="23">
        <f t="shared" si="2"/>
        <v>0.26944444444444449</v>
      </c>
      <c r="AB10" s="30">
        <f t="shared" si="3"/>
        <v>3.6805555555555536E-2</v>
      </c>
      <c r="AC10" s="30">
        <f>SUMIF($S$4:S10,S10,$AB$4:AB10)</f>
        <v>3.6805555555555536E-2</v>
      </c>
      <c r="AD10" s="23">
        <f>_xlfn.IFNA(VLOOKUP(VeredaTr127[[#This Row],[BUS]],_xlfn._xlws.SORT(TrCeib116[[BUS]:[T2]],11,-1,FALSE),11,FALSE),0)</f>
        <v>0.21180555555555555</v>
      </c>
      <c r="AE10" s="23">
        <f>+VeredaTr127[[#This Row],[∑VeredaTr]]+VeredaTr127[[#This Row],[T2]]</f>
        <v>0.24861111111111109</v>
      </c>
      <c r="AL10">
        <v>7</v>
      </c>
      <c r="AM10" s="41">
        <f>VLOOKUP(AL10,_xlfn._xlws.SORT(VeredaTr127[[BUS]:[∑]],13,-1,FALSE),13,FALSE)</f>
        <v>0.35347222222222219</v>
      </c>
    </row>
    <row r="11" spans="1:39" x14ac:dyDescent="0.35">
      <c r="B11" s="49">
        <v>9</v>
      </c>
      <c r="C11" s="23">
        <v>0.27916666666666667</v>
      </c>
      <c r="D11" s="23">
        <f t="shared" si="8"/>
        <v>9.0277777777778012E-3</v>
      </c>
      <c r="E11" s="23">
        <v>1.0416666666666666E-2</v>
      </c>
      <c r="F11" s="47">
        <v>4.1666666666666664E-2</v>
      </c>
      <c r="G11" s="23">
        <f t="shared" si="4"/>
        <v>0.32083333333333336</v>
      </c>
      <c r="H11" s="23">
        <f t="shared" si="5"/>
        <v>1.388888888888884E-3</v>
      </c>
      <c r="I11" s="23"/>
      <c r="J11" s="23">
        <f t="shared" si="1"/>
        <v>0.28055555555555556</v>
      </c>
      <c r="K11" s="30">
        <f>(G11-C11)+TrCeib116[[#This Row],[Tt_tex]]</f>
        <v>4.1666666666666685E-2</v>
      </c>
      <c r="L11" s="30">
        <f>SUMIF(B$4:$B11,TrCeib116[[#This Row],[BUS]],$K$4:K11)</f>
        <v>4.1666666666666685E-2</v>
      </c>
      <c r="M11" s="23">
        <f>_xlfn.IFNA(VLOOKUP(TrCeib116[[#This Row],[BUS]],_xlfn._xlws.SORT(VeredaTr127[[BUS]:[T2]],11,-1,FALSE),11,FALSE),0)</f>
        <v>0.22083333333333324</v>
      </c>
      <c r="N11" s="23">
        <f>+TrCeib116[[#This Row],[∑TrCeib]]+TrCeib116[[#This Row],[T2]]</f>
        <v>0.26249999999999996</v>
      </c>
      <c r="O11" s="23"/>
      <c r="P11" s="22"/>
      <c r="Q11" s="22"/>
      <c r="R11" s="22"/>
      <c r="S11" s="48">
        <v>3</v>
      </c>
      <c r="T11" s="23">
        <v>0.27847222222222223</v>
      </c>
      <c r="U11" s="23">
        <f t="shared" si="6"/>
        <v>9.0277777777777457E-3</v>
      </c>
      <c r="V11" s="23">
        <v>9.0277777777777787E-3</v>
      </c>
      <c r="W11" s="23">
        <f t="shared" si="9"/>
        <v>3.6805555555555557E-2</v>
      </c>
      <c r="X11" s="23">
        <f t="shared" si="10"/>
        <v>0.31527777777777777</v>
      </c>
      <c r="Y11" s="23">
        <f t="shared" si="11"/>
        <v>0</v>
      </c>
      <c r="Z11" s="23"/>
      <c r="AA11" s="23">
        <f t="shared" si="2"/>
        <v>0.27847222222222223</v>
      </c>
      <c r="AB11" s="30">
        <f t="shared" si="3"/>
        <v>3.6805555555555536E-2</v>
      </c>
      <c r="AC11" s="30">
        <f>SUMIF($S$4:S11,S11,$AB$4:AB11)</f>
        <v>3.6805555555555536E-2</v>
      </c>
      <c r="AD11" s="23">
        <f>_xlfn.IFNA(VLOOKUP(VeredaTr127[[#This Row],[BUS]],_xlfn._xlws.SORT(TrCeib116[[BUS]:[T2]],11,-1,FALSE),11,FALSE),0)</f>
        <v>0.25416666666666654</v>
      </c>
      <c r="AE11" s="23">
        <f>+VeredaTr127[[#This Row],[∑VeredaTr]]+VeredaTr127[[#This Row],[T2]]</f>
        <v>0.29097222222222208</v>
      </c>
      <c r="AL11">
        <v>8</v>
      </c>
      <c r="AM11" s="41">
        <f>VLOOKUP(AL11,_xlfn._xlws.SORT(VeredaTr127[[BUS]:[∑]],13,-1,FALSE),13,FALSE)</f>
        <v>0.67013888888888862</v>
      </c>
    </row>
    <row r="12" spans="1:39" x14ac:dyDescent="0.35">
      <c r="B12" s="49">
        <v>10</v>
      </c>
      <c r="C12" s="23">
        <v>0.28819444444444442</v>
      </c>
      <c r="D12" s="23">
        <f t="shared" si="8"/>
        <v>9.0277777777777457E-3</v>
      </c>
      <c r="E12" s="23">
        <v>1.0416666666666666E-2</v>
      </c>
      <c r="F12" s="23">
        <f t="shared" si="0"/>
        <v>4.2361111111111106E-2</v>
      </c>
      <c r="G12" s="23">
        <f t="shared" si="4"/>
        <v>0.33055555555555555</v>
      </c>
      <c r="H12" s="23">
        <f t="shared" si="5"/>
        <v>1.3888888888889395E-3</v>
      </c>
      <c r="I12" s="23"/>
      <c r="J12" s="23">
        <f t="shared" si="1"/>
        <v>0.28958333333333336</v>
      </c>
      <c r="K12" s="30">
        <f>(G12-C12)+TrCeib116[[#This Row],[Tt_tex]]</f>
        <v>4.2361111111111127E-2</v>
      </c>
      <c r="L12" s="30">
        <f>SUMIF(B$4:$B12,TrCeib116[[#This Row],[BUS]],$K$4:K12)</f>
        <v>4.2361111111111127E-2</v>
      </c>
      <c r="M12" s="23">
        <f>_xlfn.IFNA(VLOOKUP(TrCeib116[[#This Row],[BUS]],_xlfn._xlws.SORT(VeredaTr127[[BUS]:[T2]],11,-1,FALSE),11,FALSE),0)</f>
        <v>0.18402777777777768</v>
      </c>
      <c r="N12" s="23">
        <f>+TrCeib116[[#This Row],[∑TrCeib]]+TrCeib116[[#This Row],[T2]]</f>
        <v>0.22638888888888881</v>
      </c>
      <c r="O12" s="23"/>
      <c r="P12" s="22"/>
      <c r="Q12" s="22"/>
      <c r="R12" s="22"/>
      <c r="S12" s="48">
        <v>4</v>
      </c>
      <c r="T12" s="23">
        <v>0.28749999999999998</v>
      </c>
      <c r="U12" s="23">
        <f t="shared" si="6"/>
        <v>9.0277777777777457E-3</v>
      </c>
      <c r="V12" s="23">
        <v>9.0277777777777787E-3</v>
      </c>
      <c r="W12" s="23">
        <f t="shared" si="9"/>
        <v>3.6805555555555557E-2</v>
      </c>
      <c r="X12" s="23">
        <f t="shared" si="10"/>
        <v>0.32430555555555551</v>
      </c>
      <c r="Y12" s="23">
        <f t="shared" si="11"/>
        <v>0</v>
      </c>
      <c r="Z12" s="23"/>
      <c r="AA12" s="23">
        <f t="shared" si="2"/>
        <v>0.28749999999999998</v>
      </c>
      <c r="AB12" s="30">
        <f t="shared" si="3"/>
        <v>3.6805555555555536E-2</v>
      </c>
      <c r="AC12" s="30">
        <f>SUMIF($S$4:S12,S12,$AB$4:AB12)</f>
        <v>3.6805555555555536E-2</v>
      </c>
      <c r="AD12" s="23">
        <f>_xlfn.IFNA(VLOOKUP(VeredaTr127[[#This Row],[BUS]],_xlfn._xlws.SORT(TrCeib116[[BUS]:[T2]],11,-1,FALSE),11,FALSE),0)</f>
        <v>0.21041666666666656</v>
      </c>
      <c r="AE12" s="23">
        <f>+VeredaTr127[[#This Row],[∑VeredaTr]]+VeredaTr127[[#This Row],[T2]]</f>
        <v>0.24722222222222209</v>
      </c>
      <c r="AL12">
        <v>9</v>
      </c>
      <c r="AM12" s="41">
        <f>VLOOKUP(AL12,_xlfn._xlws.SORT(VeredaTr127[[BUS]:[∑]],13,-1,FALSE),13,FALSE)</f>
        <v>0.43194444444444424</v>
      </c>
    </row>
    <row r="13" spans="1:39" x14ac:dyDescent="0.35">
      <c r="B13" s="48">
        <v>1</v>
      </c>
      <c r="C13" s="23">
        <v>0.29722222222222222</v>
      </c>
      <c r="D13" s="23">
        <f>C13-C12</f>
        <v>9.0277777777778012E-3</v>
      </c>
      <c r="E13" s="23">
        <v>5.5555555555555558E-3</v>
      </c>
      <c r="F13" s="23">
        <f t="shared" si="0"/>
        <v>4.2361111111111106E-2</v>
      </c>
      <c r="G13" s="23">
        <f t="shared" si="4"/>
        <v>0.33958333333333335</v>
      </c>
      <c r="H13" s="23">
        <f>+(C12+E13)-C13</f>
        <v>-3.4722222222222654E-3</v>
      </c>
      <c r="I13" s="23"/>
      <c r="J13" s="23">
        <f t="shared" si="1"/>
        <v>0.29374999999999996</v>
      </c>
      <c r="K13" s="30">
        <f>(G13-C13)+TrCeib116[[#This Row],[Tt_tex]]</f>
        <v>4.2361111111111127E-2</v>
      </c>
      <c r="L13" s="30">
        <f>SUMIF(B$4:$B13,TrCeib116[[#This Row],[BUS]],$K$4:K13)</f>
        <v>8.4722222222222254E-2</v>
      </c>
      <c r="M13" s="23">
        <f>_xlfn.IFNA(VLOOKUP(TrCeib116[[#This Row],[BUS]],_xlfn._xlws.SORT(VeredaTr127[[BUS]:[T2]],11,-1,FALSE),11,FALSE),0)</f>
        <v>0.14722222222222214</v>
      </c>
      <c r="N13" s="23">
        <f>+TrCeib116[[#This Row],[∑TrCeib]]+TrCeib116[[#This Row],[T2]]</f>
        <v>0.2319444444444444</v>
      </c>
      <c r="O13" s="23"/>
      <c r="P13" s="22"/>
      <c r="Q13" s="22"/>
      <c r="R13" s="22"/>
      <c r="S13" s="49">
        <v>6</v>
      </c>
      <c r="T13" s="23">
        <v>0.29305555555555557</v>
      </c>
      <c r="U13" s="23">
        <f t="shared" si="6"/>
        <v>5.5555555555555913E-3</v>
      </c>
      <c r="V13" s="23">
        <v>5.5555555555555558E-3</v>
      </c>
      <c r="W13" s="23">
        <f t="shared" si="9"/>
        <v>3.6805555555555557E-2</v>
      </c>
      <c r="X13" s="23">
        <f t="shared" si="10"/>
        <v>0.3298611111111111</v>
      </c>
      <c r="Y13" s="23">
        <f t="shared" si="11"/>
        <v>0</v>
      </c>
      <c r="Z13" s="23"/>
      <c r="AA13" s="23">
        <f t="shared" si="2"/>
        <v>0.29305555555555557</v>
      </c>
      <c r="AB13" s="30">
        <f t="shared" si="3"/>
        <v>3.6805555555555536E-2</v>
      </c>
      <c r="AC13" s="30">
        <f>SUMIF($S$4:S13,S13,$AB$4:AB13)</f>
        <v>7.3611111111111072E-2</v>
      </c>
      <c r="AD13" s="23">
        <f>_xlfn.IFNA(VLOOKUP(VeredaTr127[[#This Row],[BUS]],_xlfn._xlws.SORT(TrCeib116[[BUS]:[T2]],11,-1,FALSE),11,FALSE),0)</f>
        <v>0.33749999999999986</v>
      </c>
      <c r="AE13" s="23">
        <f>+VeredaTr127[[#This Row],[∑VeredaTr]]+VeredaTr127[[#This Row],[T2]]</f>
        <v>0.41111111111111093</v>
      </c>
      <c r="AL13">
        <v>10</v>
      </c>
      <c r="AM13" s="41">
        <f>VLOOKUP(AL13,_xlfn._xlws.SORT(VeredaTr127[[BUS]:[∑]],13,-1,FALSE),13,FALSE)</f>
        <v>0.35347222222222213</v>
      </c>
    </row>
    <row r="14" spans="1:39" x14ac:dyDescent="0.35">
      <c r="A14" t="s">
        <v>63</v>
      </c>
      <c r="B14" s="50">
        <v>11</v>
      </c>
      <c r="C14" s="23">
        <v>0.30277777777777776</v>
      </c>
      <c r="D14" s="23">
        <f t="shared" si="8"/>
        <v>5.5555555555555358E-3</v>
      </c>
      <c r="E14" s="23"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5"/>
        <v>0</v>
      </c>
      <c r="I14" s="23"/>
      <c r="J14" s="23">
        <f>+C14+H14</f>
        <v>0.30277777777777776</v>
      </c>
      <c r="K14" s="30">
        <f>(G14-C14)+TrCeib116[[#This Row],[Tt_tex]]</f>
        <v>4.2361111111111127E-2</v>
      </c>
      <c r="L14" s="30">
        <f>SUMIF(B$4:$B14,TrCeib116[[#This Row],[BUS]],$K$4:K14)</f>
        <v>4.2361111111111127E-2</v>
      </c>
      <c r="M14" s="23">
        <f>_xlfn.IFNA(VLOOKUP(TrCeib116[[#This Row],[BUS]],_xlfn._xlws.SORT(VeredaTr127[[BUS]:[T2]],11,-1,FALSE),11,FALSE),0)</f>
        <v>3.6805555555555536E-2</v>
      </c>
      <c r="N14" s="23">
        <f>+TrCeib116[[#This Row],[∑TrCeib]]+TrCeib116[[#This Row],[T2]]</f>
        <v>7.9166666666666663E-2</v>
      </c>
      <c r="O14" s="23"/>
      <c r="P14" s="40"/>
      <c r="Q14" s="22"/>
      <c r="R14" s="22" t="s">
        <v>63</v>
      </c>
      <c r="S14" s="51">
        <v>14</v>
      </c>
      <c r="T14" s="23">
        <v>0.2986111111111111</v>
      </c>
      <c r="U14" s="23">
        <f>T14-T13</f>
        <v>5.5555555555555358E-3</v>
      </c>
      <c r="V14" s="23"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_xlfn.IFNA(VLOOKUP(VeredaTr127[[#This Row],[BUS]],_xlfn._xlws.SORT(TrCeib116[[BUS]:[T2]],11,-1,FALSE),11,FALSE),0)</f>
        <v>0.29652777777777761</v>
      </c>
      <c r="AE14" s="23">
        <f>+VeredaTr127[[#This Row],[∑VeredaTr]]+VeredaTr127[[#This Row],[T2]]</f>
        <v>0.33333333333333315</v>
      </c>
      <c r="AL14">
        <v>11</v>
      </c>
      <c r="AM14" s="41">
        <f>VLOOKUP(AL14,_xlfn._xlws.SORT(VeredaTr127[[BUS]:[∑]],13,-1,FALSE),13,FALSE)</f>
        <v>0.12152777777777779</v>
      </c>
    </row>
    <row r="15" spans="1:39" x14ac:dyDescent="0.35">
      <c r="B15" s="48">
        <v>2</v>
      </c>
      <c r="C15" s="23">
        <v>0.30625000000000002</v>
      </c>
      <c r="D15" s="23">
        <f t="shared" si="8"/>
        <v>3.4722222222222654E-3</v>
      </c>
      <c r="E15" s="23">
        <v>5.5555555555555558E-3</v>
      </c>
      <c r="F15" s="23">
        <f t="shared" si="0"/>
        <v>4.2361111111111106E-2</v>
      </c>
      <c r="G15" s="23">
        <f t="shared" si="4"/>
        <v>0.34861111111111115</v>
      </c>
      <c r="H15" s="23">
        <f t="shared" si="5"/>
        <v>2.0833333333332704E-3</v>
      </c>
      <c r="I15" s="23"/>
      <c r="J15" s="23">
        <f t="shared" si="1"/>
        <v>0.30833333333333329</v>
      </c>
      <c r="K15" s="30">
        <f>(G15-C15)+TrCeib116[[#This Row],[Tt_tex]]</f>
        <v>4.2361111111111127E-2</v>
      </c>
      <c r="L15" s="30">
        <f>SUMIF(B$4:$B15,TrCeib116[[#This Row],[BUS]],$K$4:K15)</f>
        <v>8.4722222222222227E-2</v>
      </c>
      <c r="M15" s="23">
        <f>_xlfn.IFNA(VLOOKUP(TrCeib116[[#This Row],[BUS]],_xlfn._xlws.SORT(VeredaTr127[[BUS]:[T2]],11,-1,FALSE),11,FALSE),0)</f>
        <v>0.14722222222222214</v>
      </c>
      <c r="N15" s="23">
        <f>+TrCeib116[[#This Row],[∑TrCeib]]+TrCeib116[[#This Row],[T2]]</f>
        <v>0.23194444444444437</v>
      </c>
      <c r="O15" s="23"/>
      <c r="P15" s="22"/>
      <c r="Q15" s="22"/>
      <c r="R15" s="22"/>
      <c r="S15" s="49">
        <v>7</v>
      </c>
      <c r="T15" s="23">
        <v>0.30416666666666664</v>
      </c>
      <c r="U15" s="23">
        <f t="shared" si="6"/>
        <v>5.5555555555555358E-3</v>
      </c>
      <c r="V15" s="23">
        <v>5.5555555555555558E-3</v>
      </c>
      <c r="W15" s="23">
        <f t="shared" si="9"/>
        <v>3.6805555555555557E-2</v>
      </c>
      <c r="X15" s="23">
        <f t="shared" si="10"/>
        <v>0.34097222222222218</v>
      </c>
      <c r="Y15" s="23">
        <f t="shared" si="11"/>
        <v>0</v>
      </c>
      <c r="Z15" s="23">
        <v>6.9444444444438647E-4</v>
      </c>
      <c r="AA15" s="23">
        <f t="shared" si="2"/>
        <v>0.30416666666666664</v>
      </c>
      <c r="AB15" s="30">
        <f t="shared" si="3"/>
        <v>3.6805555555555536E-2</v>
      </c>
      <c r="AC15" s="30">
        <f>SUMIF($S$4:S15,S15,$AB$4:AB15)</f>
        <v>7.3611111111111099E-2</v>
      </c>
      <c r="AD15" s="23">
        <f>_xlfn.IFNA(VLOOKUP(VeredaTr127[[#This Row],[BUS]],_xlfn._xlws.SORT(TrCeib116[[BUS]:[T2]],11,-1,FALSE),11,FALSE),0)</f>
        <v>0.16944444444444445</v>
      </c>
      <c r="AE15" s="23">
        <f>+VeredaTr127[[#This Row],[∑VeredaTr]]+VeredaTr127[[#This Row],[T2]]</f>
        <v>0.24305555555555555</v>
      </c>
      <c r="AL15">
        <v>12</v>
      </c>
      <c r="AM15" s="41">
        <f>VLOOKUP(AL15,_xlfn._xlws.SORT(VeredaTr127[[BUS]:[∑]],13,-1,FALSE),13,FALSE)</f>
        <v>0.35902777777777761</v>
      </c>
    </row>
    <row r="16" spans="1:39" x14ac:dyDescent="0.35">
      <c r="A16" t="s">
        <v>63</v>
      </c>
      <c r="B16" s="50">
        <v>12</v>
      </c>
      <c r="C16" s="23">
        <v>0.31180555555555556</v>
      </c>
      <c r="D16" s="23">
        <f>C16-C15</f>
        <v>5.5555555555555358E-3</v>
      </c>
      <c r="E16" s="23"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5"/>
        <v>0</v>
      </c>
      <c r="I16" s="23"/>
      <c r="J16" s="23">
        <f>+C16+H16</f>
        <v>0.31180555555555556</v>
      </c>
      <c r="K16" s="30">
        <f>(G16-C16)+TrCeib116[[#This Row],[Tt_tex]]</f>
        <v>4.2361111111111127E-2</v>
      </c>
      <c r="L16" s="30">
        <f>SUMIF(B$4:$B16,TrCeib116[[#This Row],[BUS]],$K$4:K16)</f>
        <v>4.2361111111111127E-2</v>
      </c>
      <c r="M16" s="23">
        <f>_xlfn.IFNA(VLOOKUP(TrCeib116[[#This Row],[BUS]],_xlfn._xlws.SORT(VeredaTr127[[BUS]:[T2]],11,-1,FALSE),11,FALSE),0)</f>
        <v>0.14722222222222214</v>
      </c>
      <c r="N16" s="23">
        <f>+TrCeib116[[#This Row],[∑TrCeib]]+TrCeib116[[#This Row],[T2]]</f>
        <v>0.18958333333333327</v>
      </c>
      <c r="O16" s="23"/>
      <c r="P16" s="22"/>
      <c r="Q16" s="22"/>
      <c r="R16" s="22" t="s">
        <v>63</v>
      </c>
      <c r="S16" s="51">
        <v>15</v>
      </c>
      <c r="T16" s="23">
        <v>0.30972222222222223</v>
      </c>
      <c r="U16" s="23">
        <f>T16-T15</f>
        <v>5.5555555555555913E-3</v>
      </c>
      <c r="V16" s="23"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_xlfn.IFNA(VLOOKUP(VeredaTr127[[#This Row],[BUS]],_xlfn._xlws.SORT(TrCeib116[[BUS]:[T2]],11,-1,FALSE),11,FALSE),0)</f>
        <v>0.29652777777777761</v>
      </c>
      <c r="AE16" s="23">
        <f>+VeredaTr127[[#This Row],[∑VeredaTr]]+VeredaTr127[[#This Row],[T2]]</f>
        <v>0.33333333333333315</v>
      </c>
      <c r="AL16">
        <v>13</v>
      </c>
      <c r="AM16" s="41">
        <f>VLOOKUP(AL16,_xlfn._xlws.SORT(VeredaTr127[[BUS]:[∑]],13,-1,FALSE),13,FALSE)</f>
        <v>0.35902777777777767</v>
      </c>
    </row>
    <row r="17" spans="1:39" x14ac:dyDescent="0.35">
      <c r="B17" s="48">
        <v>3</v>
      </c>
      <c r="C17" s="23">
        <v>0.31527777777777777</v>
      </c>
      <c r="D17" s="23">
        <f t="shared" si="8"/>
        <v>3.4722222222222099E-3</v>
      </c>
      <c r="E17" s="23"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5"/>
        <v>2.0833333333333259E-3</v>
      </c>
      <c r="I17" s="23"/>
      <c r="J17" s="23">
        <f>+C17+H17</f>
        <v>0.31736111111111109</v>
      </c>
      <c r="K17" s="30">
        <f>(G17-C17)+TrCeib116[[#This Row],[Tt_tex]]</f>
        <v>4.2361111111111127E-2</v>
      </c>
      <c r="L17" s="30">
        <f>SUMIF(B$4:$B17,TrCeib116[[#This Row],[BUS]],$K$4:K17)</f>
        <v>8.4722222222222254E-2</v>
      </c>
      <c r="M17" s="23">
        <f>_xlfn.IFNA(VLOOKUP(TrCeib116[[#This Row],[BUS]],_xlfn._xlws.SORT(VeredaTr127[[BUS]:[T2]],11,-1,FALSE),11,FALSE),0)</f>
        <v>0.22083333333333321</v>
      </c>
      <c r="N17" s="23">
        <f>+TrCeib116[[#This Row],[∑TrCeib]]+TrCeib116[[#This Row],[T2]]</f>
        <v>0.30555555555555547</v>
      </c>
      <c r="O17" s="23"/>
      <c r="P17" s="22"/>
      <c r="Q17" s="22"/>
      <c r="R17" s="22"/>
      <c r="S17" s="49">
        <v>8</v>
      </c>
      <c r="T17" s="23">
        <v>0.31527777777777777</v>
      </c>
      <c r="U17" s="23">
        <f t="shared" ref="U17" si="12">T17-T16</f>
        <v>5.5555555555555358E-3</v>
      </c>
      <c r="V17" s="23">
        <v>5.5555555555555558E-3</v>
      </c>
      <c r="W17" s="23">
        <f t="shared" si="9"/>
        <v>3.6805555555555557E-2</v>
      </c>
      <c r="X17" s="23">
        <f t="shared" si="10"/>
        <v>0.3520833333333333</v>
      </c>
      <c r="Y17" s="23">
        <f t="shared" si="11"/>
        <v>0</v>
      </c>
      <c r="Z17" s="23">
        <v>2.7777777777777679E-3</v>
      </c>
      <c r="AA17" s="23">
        <f t="shared" si="2"/>
        <v>0.31527777777777777</v>
      </c>
      <c r="AB17" s="30">
        <f t="shared" si="3"/>
        <v>3.6805555555555536E-2</v>
      </c>
      <c r="AC17" s="30">
        <f>SUMIF($S$4:S17,S17,$AB$4:AB17)</f>
        <v>7.3611111111111099E-2</v>
      </c>
      <c r="AD17" s="23">
        <f>_xlfn.IFNA(VLOOKUP(VeredaTr127[[#This Row],[BUS]],_xlfn._xlws.SORT(TrCeib116[[BUS]:[T2]],11,-1,FALSE),11,FALSE),0)</f>
        <v>0.33888888888888874</v>
      </c>
      <c r="AE17" s="23">
        <f>+VeredaTr127[[#This Row],[∑VeredaTr]]+VeredaTr127[[#This Row],[T2]]</f>
        <v>0.41249999999999987</v>
      </c>
      <c r="AL17">
        <v>14</v>
      </c>
      <c r="AM17" s="41">
        <f>VLOOKUP(AL17,_xlfn._xlws.SORT(VeredaTr127[[BUS]:[∑]],13,-1,FALSE),13,FALSE)</f>
        <v>0.59097222222222201</v>
      </c>
    </row>
    <row r="18" spans="1:39" x14ac:dyDescent="0.35">
      <c r="A18" t="s">
        <v>63</v>
      </c>
      <c r="B18" s="50">
        <v>13</v>
      </c>
      <c r="C18" s="23">
        <v>0.32083333333333336</v>
      </c>
      <c r="D18" s="23">
        <f>C18-C17</f>
        <v>5.5555555555555913E-3</v>
      </c>
      <c r="E18" s="23"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(G18-C18)+TrCeib116[[#This Row],[Tt_tex]]</f>
        <v>4.2361111111111127E-2</v>
      </c>
      <c r="L18" s="30">
        <f>SUMIF(B$4:$B18,TrCeib116[[#This Row],[BUS]],$K$4:K18)</f>
        <v>4.2361111111111127E-2</v>
      </c>
      <c r="M18" s="23">
        <f>_xlfn.IFNA(VLOOKUP(TrCeib116[[#This Row],[BUS]],_xlfn._xlws.SORT(VeredaTr127[[BUS]:[T2]],11,-1,FALSE),11,FALSE),0)</f>
        <v>0.14722222222222214</v>
      </c>
      <c r="N18" s="23">
        <f>+TrCeib116[[#This Row],[∑TrCeib]]+TrCeib116[[#This Row],[T2]]</f>
        <v>0.18958333333333327</v>
      </c>
      <c r="O18" s="23"/>
      <c r="P18" s="40"/>
      <c r="Q18" s="22"/>
      <c r="R18" s="22"/>
      <c r="S18" s="49">
        <v>9</v>
      </c>
      <c r="T18" s="23">
        <v>0.32083333333333336</v>
      </c>
      <c r="U18" s="23">
        <f t="shared" si="6"/>
        <v>5.5555555555555913E-3</v>
      </c>
      <c r="V18" s="23">
        <v>5.5555555555555558E-3</v>
      </c>
      <c r="W18" s="23">
        <f t="shared" si="9"/>
        <v>3.6805555555555557E-2</v>
      </c>
      <c r="X18" s="23">
        <f t="shared" si="10"/>
        <v>0.3576388888888889</v>
      </c>
      <c r="Y18" s="23">
        <f t="shared" si="11"/>
        <v>0</v>
      </c>
      <c r="Z18" s="23"/>
      <c r="AA18" s="23">
        <f t="shared" si="2"/>
        <v>0.32083333333333336</v>
      </c>
      <c r="AB18" s="30">
        <f t="shared" si="3"/>
        <v>3.6805555555555536E-2</v>
      </c>
      <c r="AC18" s="30">
        <f>SUMIF($S$4:S18,S18,$AB$4:AB18)</f>
        <v>7.3611111111111099E-2</v>
      </c>
      <c r="AD18" s="23">
        <f>_xlfn.IFNA(VLOOKUP(VeredaTr127[[#This Row],[BUS]],_xlfn._xlws.SORT(TrCeib116[[BUS]:[T2]],11,-1,FALSE),11,FALSE),0)</f>
        <v>0.21111111111111103</v>
      </c>
      <c r="AE18" s="23">
        <f>+VeredaTr127[[#This Row],[∑VeredaTr]]+VeredaTr127[[#This Row],[T2]]</f>
        <v>0.2847222222222221</v>
      </c>
      <c r="AL18">
        <v>15</v>
      </c>
      <c r="AM18" s="41">
        <f>VLOOKUP(AL18,_xlfn._xlws.SORT(VeredaTr127[[BUS]:[∑]],13,-1,FALSE),13,FALSE)</f>
        <v>0.59097222222222201</v>
      </c>
    </row>
    <row r="19" spans="1:39" x14ac:dyDescent="0.35">
      <c r="B19" s="48">
        <v>4</v>
      </c>
      <c r="C19" s="23">
        <v>0.32430555555555551</v>
      </c>
      <c r="D19" s="23">
        <f t="shared" ref="D19" si="13">C19-C18</f>
        <v>3.4722222222221544E-3</v>
      </c>
      <c r="E19" s="23">
        <v>5.5555555555555558E-3</v>
      </c>
      <c r="F19" s="23">
        <f t="shared" si="0"/>
        <v>4.2361111111111106E-2</v>
      </c>
      <c r="G19" s="23">
        <f t="shared" si="4"/>
        <v>0.36666666666666664</v>
      </c>
      <c r="H19" s="23">
        <f t="shared" si="5"/>
        <v>2.0833333333333814E-3</v>
      </c>
      <c r="I19" s="23"/>
      <c r="J19" s="23">
        <f t="shared" si="1"/>
        <v>0.3263888888888889</v>
      </c>
      <c r="K19" s="30">
        <f>(G19-C19)+TrCeib116[[#This Row],[Tt_tex]]</f>
        <v>4.2361111111111127E-2</v>
      </c>
      <c r="L19" s="30">
        <f>SUMIF(B$4:$B19,TrCeib116[[#This Row],[BUS]],$K$4:K19)</f>
        <v>8.3333333333333343E-2</v>
      </c>
      <c r="M19" s="23">
        <f>_xlfn.IFNA(VLOOKUP(TrCeib116[[#This Row],[BUS]],_xlfn._xlws.SORT(VeredaTr127[[BUS]:[T2]],11,-1,FALSE),11,FALSE),0)</f>
        <v>0.18402777777777768</v>
      </c>
      <c r="N19" s="23">
        <f>+TrCeib116[[#This Row],[∑TrCeib]]+TrCeib116[[#This Row],[T2]]</f>
        <v>0.26736111111111105</v>
      </c>
      <c r="O19" s="23"/>
      <c r="P19" s="40"/>
      <c r="Q19"/>
      <c r="R19" s="22" t="s">
        <v>63</v>
      </c>
      <c r="S19" s="51">
        <v>16</v>
      </c>
      <c r="T19" s="23">
        <v>0.3263888888888889</v>
      </c>
      <c r="U19" s="23">
        <f>T19-T18</f>
        <v>5.5555555555555358E-3</v>
      </c>
      <c r="V19" s="23"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_xlfn.IFNA(VLOOKUP(VeredaTr127[[#This Row],[BUS]],_xlfn._xlws.SORT(TrCeib116[[BUS]:[T2]],11,-1,FALSE),11,FALSE),0)</f>
        <v>0.29444444444444429</v>
      </c>
      <c r="AE19" s="23">
        <f>+VeredaTr127[[#This Row],[∑VeredaTr]]+VeredaTr127[[#This Row],[T2]]</f>
        <v>0.33124999999999982</v>
      </c>
      <c r="AL19">
        <v>16</v>
      </c>
      <c r="AM19" s="41">
        <f>VLOOKUP(AL19,_xlfn._xlws.SORT(VeredaTr127[[BUS]:[∑]],13,-1,FALSE),13,FALSE)</f>
        <v>0.58888888888888857</v>
      </c>
    </row>
    <row r="20" spans="1:39" x14ac:dyDescent="0.35">
      <c r="B20" s="49">
        <v>6</v>
      </c>
      <c r="C20" s="23">
        <v>0.3298611111111111</v>
      </c>
      <c r="D20" s="23">
        <f t="shared" si="8"/>
        <v>5.5555555555555913E-3</v>
      </c>
      <c r="E20" s="23"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5"/>
        <v>0</v>
      </c>
      <c r="I20" s="23"/>
      <c r="J20" s="23">
        <f>+C20+H20</f>
        <v>0.3298611111111111</v>
      </c>
      <c r="K20" s="30">
        <f>(G20-C20)+TrCeib116[[#This Row],[Tt_tex]]</f>
        <v>4.2361111111111127E-2</v>
      </c>
      <c r="L20" s="30">
        <f>SUMIF(B$4:$B20,TrCeib116[[#This Row],[BUS]],$K$4:K20)</f>
        <v>8.333333333333337E-2</v>
      </c>
      <c r="M20" s="23">
        <f>_xlfn.IFNA(VLOOKUP(TrCeib116[[#This Row],[BUS]],_xlfn._xlws.SORT(VeredaTr127[[BUS]:[T2]],11,-1,FALSE),11,FALSE),0)</f>
        <v>0.29444444444444429</v>
      </c>
      <c r="N20" s="23">
        <f>+TrCeib116[[#This Row],[∑TrCeib]]+TrCeib116[[#This Row],[T2]]</f>
        <v>0.37777777777777766</v>
      </c>
      <c r="O20" s="23"/>
      <c r="P20" s="40"/>
      <c r="Q20"/>
      <c r="R20" s="22"/>
      <c r="S20" s="49">
        <v>10</v>
      </c>
      <c r="T20" s="23">
        <v>0.33194444444444443</v>
      </c>
      <c r="U20" s="23">
        <f t="shared" ref="U20" si="14">T20-T19</f>
        <v>5.5555555555555358E-3</v>
      </c>
      <c r="V20" s="23"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5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_xlfn.IFNA(VLOOKUP(VeredaTr127[[#This Row],[BUS]],_xlfn._xlws.SORT(TrCeib116[[BUS]:[T2]],11,-1,FALSE),11,FALSE),0)</f>
        <v>0.16944444444444445</v>
      </c>
      <c r="AE20" s="23">
        <f>+VeredaTr127[[#This Row],[∑VeredaTr]]+VeredaTr127[[#This Row],[T2]]</f>
        <v>0.24305555555555552</v>
      </c>
      <c r="AL20">
        <v>17</v>
      </c>
      <c r="AM20" s="41">
        <f>VLOOKUP(AL20,_xlfn._xlws.SORT(VeredaTr127[[BUS]:[∑]],13,-1,FALSE),13,FALSE)</f>
        <v>0.35347222222222197</v>
      </c>
    </row>
    <row r="21" spans="1:39" x14ac:dyDescent="0.35">
      <c r="B21" s="51">
        <v>14</v>
      </c>
      <c r="C21" s="23">
        <v>0.33541666666666664</v>
      </c>
      <c r="D21" s="23">
        <f t="shared" si="8"/>
        <v>5.5555555555555358E-3</v>
      </c>
      <c r="E21" s="23">
        <v>5.5555555555555558E-3</v>
      </c>
      <c r="F21" s="23">
        <f t="shared" si="0"/>
        <v>4.2361111111111106E-2</v>
      </c>
      <c r="G21" s="23">
        <f t="shared" si="4"/>
        <v>0.37777777777777777</v>
      </c>
      <c r="H21" s="23">
        <f t="shared" si="5"/>
        <v>0</v>
      </c>
      <c r="I21" s="23"/>
      <c r="J21" s="23">
        <f t="shared" si="1"/>
        <v>0.33541666666666664</v>
      </c>
      <c r="K21" s="30">
        <f>(G21-C21)+TrCeib116[[#This Row],[Tt_tex]]</f>
        <v>4.2361111111111127E-2</v>
      </c>
      <c r="L21" s="30">
        <f>SUMIF(B$4:$B21,TrCeib116[[#This Row],[BUS]],$K$4:K21)</f>
        <v>4.2361111111111127E-2</v>
      </c>
      <c r="M21" s="23">
        <f>_xlfn.IFNA(VLOOKUP(TrCeib116[[#This Row],[BUS]],_xlfn._xlws.SORT(VeredaTr127[[BUS]:[T2]],11,-1,FALSE),11,FALSE),0)</f>
        <v>0.29444444444444434</v>
      </c>
      <c r="N21" s="23">
        <f>+TrCeib116[[#This Row],[∑TrCeib]]+TrCeib116[[#This Row],[T2]]</f>
        <v>0.33680555555555547</v>
      </c>
      <c r="O21" s="23"/>
      <c r="P21" s="40"/>
      <c r="Q21" s="22"/>
      <c r="R21" s="22"/>
      <c r="S21" s="48">
        <v>1</v>
      </c>
      <c r="T21" s="23">
        <v>0.33958333333333335</v>
      </c>
      <c r="U21" s="23">
        <f t="shared" ref="U21:U32" si="16">T21-T20</f>
        <v>7.6388888888889173E-3</v>
      </c>
      <c r="V21" s="23">
        <v>5.5555555555555558E-3</v>
      </c>
      <c r="W21" s="23">
        <f t="shared" ref="W21:W44" si="17">+$U$2</f>
        <v>3.6805555555555557E-2</v>
      </c>
      <c r="X21" s="23">
        <f t="shared" ref="X21:X44" si="18">+T21+W21</f>
        <v>0.37638888888888888</v>
      </c>
      <c r="Y21" s="23">
        <f t="shared" ref="Y21:Y49" si="19">+(T20+V21)-T21</f>
        <v>-2.0833333333333814E-3</v>
      </c>
      <c r="Z21" s="23"/>
      <c r="AA21" s="23">
        <f t="shared" ref="AA21:AA44" si="20">+T21+Y21</f>
        <v>0.33749999999999997</v>
      </c>
      <c r="AB21" s="30">
        <f t="shared" ref="AB21:AB44" si="21">(X21-T21)</f>
        <v>3.6805555555555536E-2</v>
      </c>
      <c r="AC21" s="30">
        <f>SUMIF($S$4:S21,S21,$AB$4:AB21)</f>
        <v>7.3611111111111072E-2</v>
      </c>
      <c r="AD21" s="23">
        <f>_xlfn.IFNA(VLOOKUP(VeredaTr127[[#This Row],[BUS]],_xlfn._xlws.SORT(TrCeib116[[BUS]:[T2]],11,-1,FALSE),11,FALSE),0)</f>
        <v>0.21180555555555552</v>
      </c>
      <c r="AE21" s="23">
        <f>+VeredaTr127[[#This Row],[∑VeredaTr]]+VeredaTr127[[#This Row],[T2]]</f>
        <v>0.2854166666666666</v>
      </c>
      <c r="AL21">
        <v>18</v>
      </c>
      <c r="AM21" s="41">
        <f>VLOOKUP(AL21,_xlfn._xlws.SORT(VeredaTr127[[BUS]:[∑]],13,-1,FALSE),13,FALSE)</f>
        <v>0.31666666666666643</v>
      </c>
    </row>
    <row r="22" spans="1:39" x14ac:dyDescent="0.35">
      <c r="B22" s="49">
        <v>7</v>
      </c>
      <c r="C22" s="23">
        <v>0.34097222222222218</v>
      </c>
      <c r="D22" s="23">
        <f t="shared" si="8"/>
        <v>5.5555555555555358E-3</v>
      </c>
      <c r="E22" s="23"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5"/>
        <v>0</v>
      </c>
      <c r="I22" s="23"/>
      <c r="J22" s="23">
        <f>+C22+H22</f>
        <v>0.34097222222222218</v>
      </c>
      <c r="K22" s="30">
        <f>(G22-C22)+TrCeib116[[#This Row],[Tt_tex]]</f>
        <v>4.2361111111111127E-2</v>
      </c>
      <c r="L22" s="30">
        <f>SUMIF(B$4:$B22,TrCeib116[[#This Row],[BUS]],$K$4:K22)</f>
        <v>8.4722222222222254E-2</v>
      </c>
      <c r="M22" s="23">
        <f>_xlfn.IFNA(VLOOKUP(TrCeib116[[#This Row],[BUS]],_xlfn._xlws.SORT(VeredaTr127[[BUS]:[T2]],11,-1,FALSE),11,FALSE),0)</f>
        <v>0.18402777777777771</v>
      </c>
      <c r="N22" s="23">
        <f>+TrCeib116[[#This Row],[∑TrCeib]]+TrCeib116[[#This Row],[T2]]</f>
        <v>0.26874999999999993</v>
      </c>
      <c r="O22" s="23"/>
      <c r="P22" s="40"/>
      <c r="Q22"/>
      <c r="R22" s="22"/>
      <c r="S22" s="50">
        <v>11</v>
      </c>
      <c r="T22" s="23">
        <v>0.34513888888888888</v>
      </c>
      <c r="U22" s="23">
        <f t="shared" si="16"/>
        <v>5.5555555555555358E-3</v>
      </c>
      <c r="V22" s="23">
        <v>5.5555555555555558E-3</v>
      </c>
      <c r="W22" s="23">
        <f t="shared" si="17"/>
        <v>3.6805555555555557E-2</v>
      </c>
      <c r="X22" s="23">
        <f t="shared" si="18"/>
        <v>0.38194444444444442</v>
      </c>
      <c r="Y22" s="23">
        <f t="shared" si="19"/>
        <v>0</v>
      </c>
      <c r="Z22" s="23"/>
      <c r="AA22" s="23">
        <f t="shared" si="20"/>
        <v>0.34513888888888888</v>
      </c>
      <c r="AB22" s="30">
        <f t="shared" si="21"/>
        <v>3.6805555555555536E-2</v>
      </c>
      <c r="AC22" s="30">
        <f>SUMIF($S$4:S22,S22,$AB$4:AB22)</f>
        <v>3.6805555555555536E-2</v>
      </c>
      <c r="AD22" s="23">
        <f>_xlfn.IFNA(VLOOKUP(VeredaTr127[[#This Row],[BUS]],_xlfn._xlws.SORT(TrCeib116[[BUS]:[T2]],11,-1,FALSE),11,FALSE),0)</f>
        <v>8.4722222222222254E-2</v>
      </c>
      <c r="AE22" s="23">
        <f>+VeredaTr127[[#This Row],[∑VeredaTr]]+VeredaTr127[[#This Row],[T2]]</f>
        <v>0.12152777777777779</v>
      </c>
      <c r="AL22">
        <v>19</v>
      </c>
      <c r="AM22" s="41">
        <f>VLOOKUP(AL22,_xlfn._xlws.SORT(VeredaTr127[[BUS]:[∑]],13,-1,FALSE),13,FALSE)</f>
        <v>0.31666666666666643</v>
      </c>
    </row>
    <row r="23" spans="1:39" x14ac:dyDescent="0.35">
      <c r="B23" s="51">
        <v>15</v>
      </c>
      <c r="C23" s="23">
        <v>0.34652777777777777</v>
      </c>
      <c r="D23" s="23">
        <f t="shared" si="8"/>
        <v>5.5555555555555913E-3</v>
      </c>
      <c r="E23" s="23">
        <v>5.5555555555555558E-3</v>
      </c>
      <c r="F23" s="23">
        <f t="shared" si="0"/>
        <v>4.2361111111111106E-2</v>
      </c>
      <c r="G23" s="23">
        <f t="shared" si="4"/>
        <v>0.3888888888888889</v>
      </c>
      <c r="H23" s="23">
        <f t="shared" si="5"/>
        <v>0</v>
      </c>
      <c r="I23" s="23"/>
      <c r="J23" s="23">
        <f t="shared" si="1"/>
        <v>0.34652777777777777</v>
      </c>
      <c r="K23" s="30">
        <f>(G23-C23)+TrCeib116[[#This Row],[Tt_tex]]</f>
        <v>4.2361111111111127E-2</v>
      </c>
      <c r="L23" s="30">
        <f>SUMIF(B$4:$B98,TrCeib116[[#This Row],[BUS]],$K$4:K98)</f>
        <v>0.29652777777777761</v>
      </c>
      <c r="M23" s="23">
        <f>_xlfn.IFNA(VLOOKUP(TrCeib116[[#This Row],[BUS]],_xlfn._xlws.SORT(VeredaTr127[[BUS]:[T2]],11,-1,FALSE),11,FALSE),0)</f>
        <v>0.29444444444444434</v>
      </c>
      <c r="N23" s="23">
        <f>+TrCeib116[[#This Row],[∑TrCeib]]+TrCeib116[[#This Row],[T2]]</f>
        <v>0.59097222222222201</v>
      </c>
      <c r="O23" s="23"/>
      <c r="P23" s="40"/>
      <c r="Q23"/>
      <c r="R23" s="22"/>
      <c r="S23" s="48">
        <v>2</v>
      </c>
      <c r="T23" s="23">
        <v>0.34861111111111115</v>
      </c>
      <c r="U23" s="23">
        <f t="shared" si="16"/>
        <v>3.4722222222222654E-3</v>
      </c>
      <c r="V23" s="23">
        <v>5.5555555555555558E-3</v>
      </c>
      <c r="W23" s="23">
        <f t="shared" si="17"/>
        <v>3.6805555555555557E-2</v>
      </c>
      <c r="X23" s="23">
        <f t="shared" si="18"/>
        <v>0.38541666666666669</v>
      </c>
      <c r="Y23" s="23">
        <f t="shared" si="19"/>
        <v>2.0833333333332704E-3</v>
      </c>
      <c r="Z23" s="23"/>
      <c r="AA23" s="23">
        <f t="shared" si="20"/>
        <v>0.35069444444444442</v>
      </c>
      <c r="AB23" s="30">
        <f t="shared" si="21"/>
        <v>3.6805555555555536E-2</v>
      </c>
      <c r="AC23" s="30">
        <f>SUMIF($S$4:S23,S23,$AB$4:AB23)</f>
        <v>7.3611111111111072E-2</v>
      </c>
      <c r="AD23" s="23">
        <f>_xlfn.IFNA(VLOOKUP(VeredaTr127[[#This Row],[BUS]],_xlfn._xlws.SORT(TrCeib116[[BUS]:[T2]],11,-1,FALSE),11,FALSE),0)</f>
        <v>0.21180555555555555</v>
      </c>
      <c r="AE23" s="23">
        <f>+VeredaTr127[[#This Row],[∑VeredaTr]]+VeredaTr127[[#This Row],[T2]]</f>
        <v>0.28541666666666665</v>
      </c>
      <c r="AL23">
        <v>20</v>
      </c>
      <c r="AM23" s="41" t="e">
        <f>VLOOKUP(AL23,_xlfn._xlws.SORT(VeredaTr127[[BUS]:[∑]],13,-1,FALSE),13,FALSE)</f>
        <v>#N/A</v>
      </c>
    </row>
    <row r="24" spans="1:39" x14ac:dyDescent="0.35">
      <c r="B24" s="49">
        <v>8</v>
      </c>
      <c r="C24" s="23">
        <v>0.3520833333333333</v>
      </c>
      <c r="D24" s="23">
        <f t="shared" si="8"/>
        <v>5.5555555555555358E-3</v>
      </c>
      <c r="E24" s="23">
        <v>5.5555555555555558E-3</v>
      </c>
      <c r="F24" s="23">
        <f t="shared" si="0"/>
        <v>4.2361111111111106E-2</v>
      </c>
      <c r="G24" s="23">
        <f>C24+F24</f>
        <v>0.39444444444444443</v>
      </c>
      <c r="H24" s="23">
        <f t="shared" si="5"/>
        <v>0</v>
      </c>
      <c r="I24" s="23"/>
      <c r="J24" s="23">
        <f>+C24+H24</f>
        <v>0.3520833333333333</v>
      </c>
      <c r="K24" s="30">
        <f>(G24-C24)+TrCeib116[[#This Row],[Tt_tex]]</f>
        <v>4.2361111111111127E-2</v>
      </c>
      <c r="L24" s="30">
        <f>SUMIF(B$4:$B98,TrCeib116[[#This Row],[BUS]],$K$4:K98)</f>
        <v>0.33888888888888874</v>
      </c>
      <c r="M24" s="23">
        <f>_xlfn.IFNA(VLOOKUP(TrCeib116[[#This Row],[BUS]],_xlfn._xlws.SORT(VeredaTr127[[BUS]:[T2]],11,-1,FALSE),11,FALSE),0)</f>
        <v>0.33124999999999982</v>
      </c>
      <c r="N24" s="23">
        <f>+TrCeib116[[#This Row],[∑TrCeib]]+TrCeib116[[#This Row],[T2]]</f>
        <v>0.67013888888888862</v>
      </c>
      <c r="O24" s="23"/>
      <c r="P24" s="40"/>
      <c r="Q24"/>
      <c r="R24" s="22"/>
      <c r="S24" s="50">
        <v>12</v>
      </c>
      <c r="T24" s="23">
        <v>0.35416666666666669</v>
      </c>
      <c r="U24" s="23">
        <f t="shared" si="16"/>
        <v>5.5555555555555358E-3</v>
      </c>
      <c r="V24" s="23">
        <v>5.5555555555555558E-3</v>
      </c>
      <c r="W24" s="23">
        <f t="shared" si="17"/>
        <v>3.6805555555555557E-2</v>
      </c>
      <c r="X24" s="23">
        <f t="shared" si="18"/>
        <v>0.39097222222222222</v>
      </c>
      <c r="Y24" s="23">
        <f t="shared" si="19"/>
        <v>0</v>
      </c>
      <c r="Z24" s="23"/>
      <c r="AA24" s="23">
        <f t="shared" si="20"/>
        <v>0.35416666666666669</v>
      </c>
      <c r="AB24" s="30">
        <f t="shared" si="21"/>
        <v>3.6805555555555536E-2</v>
      </c>
      <c r="AC24" s="30">
        <f>SUMIF($S$4:S24,S24,$AB$4:AB24)</f>
        <v>3.6805555555555536E-2</v>
      </c>
      <c r="AD24" s="23">
        <f>_xlfn.IFNA(VLOOKUP(VeredaTr127[[#This Row],[BUS]],_xlfn._xlws.SORT(TrCeib116[[BUS]:[T2]],11,-1,FALSE),11,FALSE),0)</f>
        <v>0.21180555555555547</v>
      </c>
      <c r="AE24" s="23">
        <f>+VeredaTr127[[#This Row],[∑VeredaTr]]+VeredaTr127[[#This Row],[T2]]</f>
        <v>0.24861111111111101</v>
      </c>
      <c r="AL24">
        <v>21</v>
      </c>
      <c r="AM24" s="41" t="e">
        <f>VLOOKUP(AL24,_xlfn._xlws.SORT(VeredaTr127[[BUS]:[∑]],13,-1,FALSE),13,FALSE)</f>
        <v>#N/A</v>
      </c>
    </row>
    <row r="25" spans="1:39" x14ac:dyDescent="0.35">
      <c r="A25" t="s">
        <v>70</v>
      </c>
      <c r="B25" s="49">
        <v>9</v>
      </c>
      <c r="C25" s="23">
        <v>0.3576388888888889</v>
      </c>
      <c r="D25" s="23">
        <f t="shared" si="8"/>
        <v>5.5555555555555913E-3</v>
      </c>
      <c r="E25" s="23">
        <v>5.5555555555555558E-3</v>
      </c>
      <c r="F25" s="23">
        <f t="shared" si="0"/>
        <v>4.2361111111111106E-2</v>
      </c>
      <c r="G25" s="23">
        <f t="shared" ref="G25:G27" si="22">C25+F25</f>
        <v>0.4</v>
      </c>
      <c r="H25" s="23">
        <f t="shared" si="5"/>
        <v>0</v>
      </c>
      <c r="I25" s="23"/>
      <c r="J25" s="23">
        <f t="shared" ref="J25:J40" si="23">+C25+H25</f>
        <v>0.3576388888888889</v>
      </c>
      <c r="K25" s="30">
        <f>(G25-C25)+TrCeib116[[#This Row],[Tt_tex]]</f>
        <v>4.2361111111111127E-2</v>
      </c>
      <c r="L25" s="30">
        <f>SUMIF(B$4:$B25,TrCeib116[[#This Row],[BUS]],$K$4:K25)</f>
        <v>8.4027777777777812E-2</v>
      </c>
      <c r="M25" s="23">
        <f>_xlfn.IFNA(VLOOKUP(TrCeib116[[#This Row],[BUS]],_xlfn._xlws.SORT(VeredaTr127[[BUS]:[T2]],11,-1,FALSE),11,FALSE),0)</f>
        <v>0.22083333333333324</v>
      </c>
      <c r="N25" s="23">
        <f>+TrCeib116[[#This Row],[∑TrCeib]]+TrCeib116[[#This Row],[T2]]</f>
        <v>0.30486111111111103</v>
      </c>
      <c r="O25" s="23"/>
      <c r="P25" s="40"/>
      <c r="Q25"/>
      <c r="R25" s="22" t="s">
        <v>70</v>
      </c>
      <c r="S25" s="48">
        <v>3</v>
      </c>
      <c r="T25" s="23">
        <v>0.3576388888888889</v>
      </c>
      <c r="U25" s="23">
        <f t="shared" si="16"/>
        <v>3.4722222222222099E-3</v>
      </c>
      <c r="V25" s="23">
        <v>5.5555555555555558E-3</v>
      </c>
      <c r="W25" s="23">
        <f t="shared" si="17"/>
        <v>3.6805555555555557E-2</v>
      </c>
      <c r="X25" s="23">
        <f t="shared" si="18"/>
        <v>0.39444444444444443</v>
      </c>
      <c r="Y25" s="23">
        <f t="shared" si="19"/>
        <v>2.0833333333333259E-3</v>
      </c>
      <c r="Z25" s="23"/>
      <c r="AA25" s="23">
        <f t="shared" si="20"/>
        <v>0.35972222222222222</v>
      </c>
      <c r="AB25" s="30">
        <f t="shared" si="21"/>
        <v>3.6805555555555536E-2</v>
      </c>
      <c r="AC25" s="30">
        <f>SUMIF($S$4:S25,S25,$AB$4:AB25)</f>
        <v>7.3611111111111072E-2</v>
      </c>
      <c r="AD25" s="23">
        <f>_xlfn.IFNA(VLOOKUP(VeredaTr127[[#This Row],[BUS]],_xlfn._xlws.SORT(TrCeib116[[BUS]:[T2]],11,-1,FALSE),11,FALSE),0)</f>
        <v>0.25416666666666654</v>
      </c>
      <c r="AE25" s="23">
        <f>+VeredaTr127[[#This Row],[∑VeredaTr]]+VeredaTr127[[#This Row],[T2]]</f>
        <v>0.32777777777777761</v>
      </c>
      <c r="AL25">
        <v>22</v>
      </c>
      <c r="AM25" s="41" t="e">
        <f>VLOOKUP(AL25,_xlfn._xlws.SORT(VeredaTr127[[BUS]:[∑]],13,-1,FALSE),13,FALSE)</f>
        <v>#N/A</v>
      </c>
    </row>
    <row r="26" spans="1:39" x14ac:dyDescent="0.35">
      <c r="B26" s="51">
        <v>16</v>
      </c>
      <c r="C26" s="23">
        <v>0.36319444444444443</v>
      </c>
      <c r="D26" s="23">
        <f t="shared" si="8"/>
        <v>5.5555555555555358E-3</v>
      </c>
      <c r="E26" s="23">
        <v>5.5555555555555558E-3</v>
      </c>
      <c r="F26" s="47">
        <v>4.027777777777778E-2</v>
      </c>
      <c r="G26" s="23">
        <f t="shared" si="22"/>
        <v>0.40347222222222223</v>
      </c>
      <c r="H26" s="23">
        <f t="shared" si="5"/>
        <v>0</v>
      </c>
      <c r="I26" s="23"/>
      <c r="J26" s="23">
        <f t="shared" si="23"/>
        <v>0.36319444444444443</v>
      </c>
      <c r="K26" s="30">
        <f>(G26-C26)+TrCeib116[[#This Row],[Tt_tex]]</f>
        <v>4.0277777777777801E-2</v>
      </c>
      <c r="L26" s="30">
        <f>SUMIF(B$4:$B26,TrCeib116[[#This Row],[BUS]],$K$4:K26)</f>
        <v>4.0277777777777801E-2</v>
      </c>
      <c r="M26" s="23">
        <f>_xlfn.IFNA(VLOOKUP(TrCeib116[[#This Row],[BUS]],_xlfn._xlws.SORT(VeredaTr127[[BUS]:[T2]],11,-1,FALSE),11,FALSE),0)</f>
        <v>0.29444444444444429</v>
      </c>
      <c r="N26" s="23">
        <f>+TrCeib116[[#This Row],[∑TrCeib]]+TrCeib116[[#This Row],[T2]]</f>
        <v>0.33472222222222209</v>
      </c>
      <c r="O26" s="23"/>
      <c r="P26" s="40"/>
      <c r="Q26"/>
      <c r="R26" s="22"/>
      <c r="S26" s="50">
        <v>13</v>
      </c>
      <c r="T26" s="23">
        <v>0.36319444444444449</v>
      </c>
      <c r="U26" s="23">
        <f t="shared" si="16"/>
        <v>5.5555555555555913E-3</v>
      </c>
      <c r="V26" s="23">
        <v>5.5555555555555558E-3</v>
      </c>
      <c r="W26" s="23">
        <f t="shared" si="17"/>
        <v>3.6805555555555557E-2</v>
      </c>
      <c r="X26" s="23">
        <f t="shared" si="18"/>
        <v>0.4</v>
      </c>
      <c r="Y26" s="23">
        <f t="shared" si="19"/>
        <v>0</v>
      </c>
      <c r="Z26" s="23"/>
      <c r="AA26" s="23">
        <f t="shared" si="20"/>
        <v>0.36319444444444449</v>
      </c>
      <c r="AB26" s="30">
        <f t="shared" si="21"/>
        <v>3.6805555555555536E-2</v>
      </c>
      <c r="AC26" s="30">
        <f>SUMIF($S$4:S26,S26,$AB$4:AB26)</f>
        <v>3.6805555555555536E-2</v>
      </c>
      <c r="AD26" s="23">
        <f>_xlfn.IFNA(VLOOKUP(VeredaTr127[[#This Row],[BUS]],_xlfn._xlws.SORT(TrCeib116[[BUS]:[T2]],11,-1,FALSE),11,FALSE),0)</f>
        <v>0.21180555555555552</v>
      </c>
      <c r="AE26" s="23">
        <f>+VeredaTr127[[#This Row],[∑VeredaTr]]+VeredaTr127[[#This Row],[T2]]</f>
        <v>0.24861111111111106</v>
      </c>
      <c r="AL26">
        <v>23</v>
      </c>
      <c r="AM26" s="41" t="e">
        <f>VLOOKUP(AL26,_xlfn._xlws.SORT(VeredaTr127[[BUS]:[∑]],13,-1,FALSE),13,FALSE)</f>
        <v>#N/A</v>
      </c>
    </row>
    <row r="27" spans="1:39" x14ac:dyDescent="0.35">
      <c r="B27" s="49">
        <v>10</v>
      </c>
      <c r="C27" s="23">
        <v>0.36874999999999997</v>
      </c>
      <c r="D27" s="23">
        <f t="shared" si="8"/>
        <v>5.5555555555555358E-3</v>
      </c>
      <c r="E27" s="23">
        <v>5.5555555555555558E-3</v>
      </c>
      <c r="F27" s="23">
        <f t="shared" si="0"/>
        <v>4.2361111111111106E-2</v>
      </c>
      <c r="G27" s="23">
        <f t="shared" si="22"/>
        <v>0.41111111111111109</v>
      </c>
      <c r="H27" s="23">
        <f t="shared" si="5"/>
        <v>0</v>
      </c>
      <c r="I27" s="23"/>
      <c r="J27" s="23">
        <f t="shared" si="23"/>
        <v>0.36874999999999997</v>
      </c>
      <c r="K27" s="30">
        <f>(G27-C27)+TrCeib116[[#This Row],[Tt_tex]]</f>
        <v>4.2361111111111127E-2</v>
      </c>
      <c r="L27" s="30">
        <f>SUMIF(B$4:$B27,TrCeib116[[#This Row],[BUS]],$K$4:K27)</f>
        <v>8.4722222222222254E-2</v>
      </c>
      <c r="M27" s="23">
        <f>_xlfn.IFNA(VLOOKUP(TrCeib116[[#This Row],[BUS]],_xlfn._xlws.SORT(VeredaTr127[[BUS]:[T2]],11,-1,FALSE),11,FALSE),0)</f>
        <v>0.18402777777777768</v>
      </c>
      <c r="N27" s="23">
        <f>+TrCeib116[[#This Row],[∑TrCeib]]+TrCeib116[[#This Row],[T2]]</f>
        <v>0.26874999999999993</v>
      </c>
      <c r="O27" s="23"/>
      <c r="P27" s="40"/>
      <c r="Q27"/>
      <c r="R27" s="22" t="s">
        <v>70</v>
      </c>
      <c r="S27" s="48">
        <v>4</v>
      </c>
      <c r="T27" s="23">
        <v>0.36666666666666664</v>
      </c>
      <c r="U27" s="23">
        <f t="shared" si="16"/>
        <v>3.4722222222221544E-3</v>
      </c>
      <c r="V27" s="23">
        <v>5.5555555555555558E-3</v>
      </c>
      <c r="W27" s="23">
        <f t="shared" si="17"/>
        <v>3.6805555555555557E-2</v>
      </c>
      <c r="X27" s="23">
        <f t="shared" si="18"/>
        <v>0.40347222222222218</v>
      </c>
      <c r="Y27" s="23">
        <f t="shared" si="19"/>
        <v>2.0833333333333814E-3</v>
      </c>
      <c r="Z27" s="23"/>
      <c r="AA27" s="23">
        <f t="shared" si="20"/>
        <v>0.36875000000000002</v>
      </c>
      <c r="AB27" s="30">
        <f t="shared" si="21"/>
        <v>3.6805555555555536E-2</v>
      </c>
      <c r="AC27" s="30">
        <f>SUMIF($S$4:S27,S27,$AB$4:AB27)</f>
        <v>7.3611111111111072E-2</v>
      </c>
      <c r="AD27" s="23">
        <f>_xlfn.IFNA(VLOOKUP(VeredaTr127[[#This Row],[BUS]],_xlfn._xlws.SORT(TrCeib116[[BUS]:[T2]],11,-1,FALSE),11,FALSE),0)</f>
        <v>0.21041666666666656</v>
      </c>
      <c r="AE27" s="23">
        <f>+VeredaTr127[[#This Row],[∑VeredaTr]]+VeredaTr127[[#This Row],[T2]]</f>
        <v>0.28402777777777766</v>
      </c>
      <c r="AL27">
        <v>24</v>
      </c>
      <c r="AM27" s="41" t="e">
        <f>VLOOKUP(AL27,_xlfn._xlws.SORT(VeredaTr127[[BUS]:[∑]],13,-1,FALSE),13,FALSE)</f>
        <v>#N/A</v>
      </c>
    </row>
    <row r="28" spans="1:39" x14ac:dyDescent="0.35">
      <c r="B28" s="48">
        <v>1</v>
      </c>
      <c r="C28" s="23">
        <v>0.37638888888888888</v>
      </c>
      <c r="D28" s="23">
        <f t="shared" si="8"/>
        <v>7.6388888888889173E-3</v>
      </c>
      <c r="E28" s="23">
        <v>5.5555555555555558E-3</v>
      </c>
      <c r="F28" s="23">
        <f t="shared" si="0"/>
        <v>4.2361111111111106E-2</v>
      </c>
      <c r="G28" s="23">
        <f t="shared" ref="G28:G40" si="24">C28+F28</f>
        <v>0.41875000000000001</v>
      </c>
      <c r="H28" s="23">
        <f t="shared" ref="H28:H40" si="25">+(C27+E28)-C28</f>
        <v>-2.0833333333333814E-3</v>
      </c>
      <c r="I28" s="23"/>
      <c r="J28" s="23">
        <f t="shared" si="23"/>
        <v>0.3743055555555555</v>
      </c>
      <c r="K28" s="30">
        <f>(G28-C28)+TrCeib116[[#This Row],[Tt_tex]]</f>
        <v>4.2361111111111127E-2</v>
      </c>
      <c r="L28" s="30">
        <f>SUMIF(B$4:$B28,TrCeib116[[#This Row],[BUS]],$K$4:K28)</f>
        <v>0.12708333333333338</v>
      </c>
      <c r="M28" s="23">
        <f>_xlfn.IFNA(VLOOKUP(TrCeib116[[#This Row],[BUS]],_xlfn._xlws.SORT(VeredaTr127[[BUS]:[T2]],11,-1,FALSE),11,FALSE),0)</f>
        <v>0.14722222222222214</v>
      </c>
      <c r="N28" s="23">
        <f>+TrCeib116[[#This Row],[∑TrCeib]]+TrCeib116[[#This Row],[T2]]</f>
        <v>0.27430555555555552</v>
      </c>
      <c r="O28" s="23"/>
      <c r="P28" s="40"/>
      <c r="Q28"/>
      <c r="R28" s="22"/>
      <c r="S28" s="49">
        <v>6</v>
      </c>
      <c r="T28" s="23">
        <v>0.37222222222222223</v>
      </c>
      <c r="U28" s="23">
        <f t="shared" si="16"/>
        <v>5.5555555555555913E-3</v>
      </c>
      <c r="V28" s="23">
        <v>5.5555555555555558E-3</v>
      </c>
      <c r="W28" s="23">
        <f t="shared" si="17"/>
        <v>3.6805555555555557E-2</v>
      </c>
      <c r="X28" s="23">
        <f t="shared" si="18"/>
        <v>0.40902777777777777</v>
      </c>
      <c r="Y28" s="23">
        <f t="shared" si="19"/>
        <v>0</v>
      </c>
      <c r="Z28" s="23"/>
      <c r="AA28" s="23">
        <f t="shared" si="20"/>
        <v>0.37222222222222223</v>
      </c>
      <c r="AB28" s="30">
        <f t="shared" si="21"/>
        <v>3.6805555555555536E-2</v>
      </c>
      <c r="AC28" s="30">
        <f>SUMIF($S$4:S28,S28,$AB$4:AB28)</f>
        <v>0.11041666666666661</v>
      </c>
      <c r="AD28" s="23">
        <f>_xlfn.IFNA(VLOOKUP(VeredaTr127[[#This Row],[BUS]],_xlfn._xlws.SORT(TrCeib116[[BUS]:[T2]],11,-1,FALSE),11,FALSE),0)</f>
        <v>0.33749999999999986</v>
      </c>
      <c r="AE28" s="23">
        <f>+VeredaTr127[[#This Row],[∑VeredaTr]]+VeredaTr127[[#This Row],[T2]]</f>
        <v>0.44791666666666646</v>
      </c>
    </row>
    <row r="29" spans="1:39" x14ac:dyDescent="0.35">
      <c r="A29" t="s">
        <v>70</v>
      </c>
      <c r="B29" s="50">
        <v>11</v>
      </c>
      <c r="C29" s="23">
        <v>0.38194444444444442</v>
      </c>
      <c r="D29" s="23">
        <f t="shared" si="8"/>
        <v>5.5555555555555358E-3</v>
      </c>
      <c r="E29" s="23">
        <v>5.5555555555555558E-3</v>
      </c>
      <c r="F29" s="23">
        <f t="shared" si="0"/>
        <v>4.2361111111111106E-2</v>
      </c>
      <c r="G29" s="23">
        <f t="shared" si="24"/>
        <v>0.42430555555555555</v>
      </c>
      <c r="H29" s="23">
        <f t="shared" si="25"/>
        <v>0</v>
      </c>
      <c r="I29" s="23"/>
      <c r="J29" s="23">
        <f t="shared" si="23"/>
        <v>0.38194444444444442</v>
      </c>
      <c r="K29" s="30">
        <f>(G29-C29)+TrCeib116[[#This Row],[Tt_tex]]</f>
        <v>4.2361111111111127E-2</v>
      </c>
      <c r="L29" s="30">
        <f>SUMIF(B$4:$B29,TrCeib116[[#This Row],[BUS]],$K$4:K29)</f>
        <v>8.4722222222222254E-2</v>
      </c>
      <c r="M29" s="23">
        <f>_xlfn.IFNA(VLOOKUP(TrCeib116[[#This Row],[BUS]],_xlfn._xlws.SORT(VeredaTr127[[BUS]:[T2]],11,-1,FALSE),11,FALSE),0)</f>
        <v>3.6805555555555536E-2</v>
      </c>
      <c r="N29" s="23">
        <f>+TrCeib116[[#This Row],[∑TrCeib]]+TrCeib116[[#This Row],[T2]]</f>
        <v>0.12152777777777779</v>
      </c>
      <c r="O29" s="23"/>
      <c r="P29" s="40"/>
      <c r="Q29"/>
      <c r="R29" s="22"/>
      <c r="S29" s="51">
        <v>14</v>
      </c>
      <c r="T29" s="23">
        <v>0.37777777777777777</v>
      </c>
      <c r="U29" s="23">
        <f t="shared" si="16"/>
        <v>5.5555555555555358E-3</v>
      </c>
      <c r="V29" s="23">
        <v>5.5555555555555558E-3</v>
      </c>
      <c r="W29" s="23">
        <f t="shared" si="17"/>
        <v>3.6805555555555557E-2</v>
      </c>
      <c r="X29" s="23">
        <f t="shared" si="18"/>
        <v>0.4145833333333333</v>
      </c>
      <c r="Y29" s="23">
        <f t="shared" si="19"/>
        <v>0</v>
      </c>
      <c r="Z29" s="23"/>
      <c r="AA29" s="23">
        <f t="shared" si="20"/>
        <v>0.37777777777777777</v>
      </c>
      <c r="AB29" s="30">
        <f t="shared" si="21"/>
        <v>3.6805555555555536E-2</v>
      </c>
      <c r="AC29" s="30">
        <f>SUMIF($S$4:S29,S29,$AB$4:AB29)</f>
        <v>7.3611111111111072E-2</v>
      </c>
      <c r="AD29" s="23">
        <f>_xlfn.IFNA(VLOOKUP(VeredaTr127[[#This Row],[BUS]],_xlfn._xlws.SORT(TrCeib116[[BUS]:[T2]],11,-1,FALSE),11,FALSE),0)</f>
        <v>0.29652777777777761</v>
      </c>
      <c r="AE29" s="23">
        <f>+VeredaTr127[[#This Row],[∑VeredaTr]]+VeredaTr127[[#This Row],[T2]]</f>
        <v>0.37013888888888868</v>
      </c>
    </row>
    <row r="30" spans="1:39" x14ac:dyDescent="0.35">
      <c r="B30" s="48">
        <v>2</v>
      </c>
      <c r="C30" s="23">
        <v>0.38541666666666669</v>
      </c>
      <c r="D30" s="23">
        <f t="shared" si="8"/>
        <v>3.4722222222222654E-3</v>
      </c>
      <c r="E30" s="23">
        <v>5.5555555555555558E-3</v>
      </c>
      <c r="F30" s="23">
        <f t="shared" si="0"/>
        <v>4.2361111111111106E-2</v>
      </c>
      <c r="G30" s="23">
        <f t="shared" si="24"/>
        <v>0.42777777777777781</v>
      </c>
      <c r="H30" s="23">
        <f t="shared" si="25"/>
        <v>2.0833333333332704E-3</v>
      </c>
      <c r="I30" s="23"/>
      <c r="J30" s="23">
        <f t="shared" si="23"/>
        <v>0.38749999999999996</v>
      </c>
      <c r="K30" s="30">
        <f>(G30-C30)+TrCeib116[[#This Row],[Tt_tex]]</f>
        <v>4.2361111111111127E-2</v>
      </c>
      <c r="L30" s="30">
        <f>SUMIF(B$4:$B30,TrCeib116[[#This Row],[BUS]],$K$4:K30)</f>
        <v>0.12708333333333335</v>
      </c>
      <c r="M30" s="23">
        <f>_xlfn.IFNA(VLOOKUP(TrCeib116[[#This Row],[BUS]],_xlfn._xlws.SORT(VeredaTr127[[BUS]:[T2]],11,-1,FALSE),11,FALSE),0)</f>
        <v>0.14722222222222214</v>
      </c>
      <c r="N30" s="23">
        <f>+TrCeib116[[#This Row],[∑TrCeib]]+TrCeib116[[#This Row],[T2]]</f>
        <v>0.27430555555555547</v>
      </c>
      <c r="O30" s="23"/>
      <c r="P30" s="40"/>
      <c r="Q30"/>
      <c r="R30" s="22"/>
      <c r="S30" s="49">
        <v>7</v>
      </c>
      <c r="T30" s="23">
        <v>0.3833333333333333</v>
      </c>
      <c r="U30" s="23">
        <f t="shared" si="16"/>
        <v>5.5555555555555358E-3</v>
      </c>
      <c r="V30" s="23">
        <v>5.5555555555555558E-3</v>
      </c>
      <c r="W30" s="23">
        <f t="shared" si="17"/>
        <v>3.6805555555555557E-2</v>
      </c>
      <c r="X30" s="23">
        <f t="shared" si="18"/>
        <v>0.42013888888888884</v>
      </c>
      <c r="Y30" s="23">
        <f t="shared" si="19"/>
        <v>0</v>
      </c>
      <c r="Z30" s="23"/>
      <c r="AA30" s="23">
        <f t="shared" si="20"/>
        <v>0.3833333333333333</v>
      </c>
      <c r="AB30" s="30">
        <f t="shared" si="21"/>
        <v>3.6805555555555536E-2</v>
      </c>
      <c r="AC30" s="30">
        <f>SUMIF($S$4:S30,S30,$AB$4:AB30)</f>
        <v>0.11041666666666664</v>
      </c>
      <c r="AD30" s="23">
        <f>_xlfn.IFNA(VLOOKUP(VeredaTr127[[#This Row],[BUS]],_xlfn._xlws.SORT(TrCeib116[[BUS]:[T2]],11,-1,FALSE),11,FALSE),0)</f>
        <v>0.16944444444444445</v>
      </c>
      <c r="AE30" s="23">
        <f>+VeredaTr127[[#This Row],[∑VeredaTr]]+VeredaTr127[[#This Row],[T2]]</f>
        <v>0.27986111111111112</v>
      </c>
    </row>
    <row r="31" spans="1:39" x14ac:dyDescent="0.35">
      <c r="B31" s="50">
        <v>12</v>
      </c>
      <c r="C31" s="23">
        <v>0.39097222222222222</v>
      </c>
      <c r="D31" s="23">
        <f t="shared" si="8"/>
        <v>5.5555555555555358E-3</v>
      </c>
      <c r="E31" s="23">
        <v>5.5555555555555558E-3</v>
      </c>
      <c r="F31" s="23">
        <f t="shared" si="0"/>
        <v>4.2361111111111106E-2</v>
      </c>
      <c r="G31" s="23">
        <f t="shared" si="24"/>
        <v>0.43333333333333335</v>
      </c>
      <c r="H31" s="23">
        <f t="shared" si="25"/>
        <v>0</v>
      </c>
      <c r="I31" s="23"/>
      <c r="J31" s="23">
        <f t="shared" si="23"/>
        <v>0.39097222222222222</v>
      </c>
      <c r="K31" s="30">
        <f>(G31-C31)+TrCeib116[[#This Row],[Tt_tex]]</f>
        <v>4.2361111111111127E-2</v>
      </c>
      <c r="L31" s="30">
        <f>SUMIF(B$4:$B31,TrCeib116[[#This Row],[BUS]],$K$4:K31)</f>
        <v>8.4722222222222254E-2</v>
      </c>
      <c r="M31" s="23">
        <f>_xlfn.IFNA(VLOOKUP(TrCeib116[[#This Row],[BUS]],_xlfn._xlws.SORT(VeredaTr127[[BUS]:[T2]],11,-1,FALSE),11,FALSE),0)</f>
        <v>0.14722222222222214</v>
      </c>
      <c r="N31" s="23">
        <f>+TrCeib116[[#This Row],[∑TrCeib]]+TrCeib116[[#This Row],[T2]]</f>
        <v>0.2319444444444444</v>
      </c>
      <c r="O31" s="23"/>
      <c r="P31" s="40"/>
      <c r="Q31"/>
      <c r="R31" s="22"/>
      <c r="S31" s="51">
        <v>15</v>
      </c>
      <c r="T31" s="23">
        <v>0.3888888888888889</v>
      </c>
      <c r="U31" s="23">
        <f t="shared" si="16"/>
        <v>5.5555555555555913E-3</v>
      </c>
      <c r="V31" s="23">
        <v>5.5555555555555558E-3</v>
      </c>
      <c r="W31" s="23">
        <f t="shared" si="17"/>
        <v>3.6805555555555557E-2</v>
      </c>
      <c r="X31" s="23">
        <f t="shared" si="18"/>
        <v>0.42569444444444443</v>
      </c>
      <c r="Y31" s="23">
        <f t="shared" si="19"/>
        <v>0</v>
      </c>
      <c r="Z31" s="23"/>
      <c r="AA31" s="23">
        <f t="shared" si="20"/>
        <v>0.3888888888888889</v>
      </c>
      <c r="AB31" s="30">
        <f t="shared" si="21"/>
        <v>3.6805555555555536E-2</v>
      </c>
      <c r="AC31" s="30">
        <f>SUMIF($S$4:S31,S31,$AB$4:AB31)</f>
        <v>7.3611111111111072E-2</v>
      </c>
      <c r="AD31" s="23">
        <f>_xlfn.IFNA(VLOOKUP(VeredaTr127[[#This Row],[BUS]],_xlfn._xlws.SORT(TrCeib116[[BUS]:[T2]],11,-1,FALSE),11,FALSE),0)</f>
        <v>0.29652777777777761</v>
      </c>
      <c r="AE31" s="23">
        <f>+VeredaTr127[[#This Row],[∑VeredaTr]]+VeredaTr127[[#This Row],[T2]]</f>
        <v>0.37013888888888868</v>
      </c>
    </row>
    <row r="32" spans="1:39" x14ac:dyDescent="0.35">
      <c r="B32" s="50">
        <v>13</v>
      </c>
      <c r="C32" s="23">
        <v>0.4</v>
      </c>
      <c r="D32" s="23">
        <f t="shared" si="8"/>
        <v>9.0277777777778012E-3</v>
      </c>
      <c r="E32" s="23">
        <v>1.0416666666666666E-2</v>
      </c>
      <c r="F32" s="23">
        <f t="shared" si="0"/>
        <v>4.2361111111111106E-2</v>
      </c>
      <c r="G32" s="23">
        <f t="shared" si="24"/>
        <v>0.44236111111111115</v>
      </c>
      <c r="H32" s="23">
        <f t="shared" si="25"/>
        <v>1.388888888888884E-3</v>
      </c>
      <c r="I32" s="23"/>
      <c r="J32" s="23">
        <f t="shared" si="23"/>
        <v>0.40138888888888891</v>
      </c>
      <c r="K32" s="30">
        <f>(G32-C32)+TrCeib116[[#This Row],[Tt_tex]]</f>
        <v>4.2361111111111127E-2</v>
      </c>
      <c r="L32" s="30">
        <f>SUMIF(B$4:$B32,TrCeib116[[#This Row],[BUS]],$K$4:K32)</f>
        <v>8.4722222222222254E-2</v>
      </c>
      <c r="M32" s="23">
        <f>_xlfn.IFNA(VLOOKUP(TrCeib116[[#This Row],[BUS]],_xlfn._xlws.SORT(VeredaTr127[[BUS]:[T2]],11,-1,FALSE),11,FALSE),0)</f>
        <v>0.14722222222222214</v>
      </c>
      <c r="N32" s="23">
        <f>+TrCeib116[[#This Row],[∑TrCeib]]+TrCeib116[[#This Row],[T2]]</f>
        <v>0.2319444444444444</v>
      </c>
      <c r="O32" s="23"/>
      <c r="P32" s="40"/>
      <c r="Q32"/>
      <c r="R32" s="22"/>
      <c r="S32" s="49">
        <v>8</v>
      </c>
      <c r="T32" s="23">
        <v>0.39444444444444443</v>
      </c>
      <c r="U32" s="23">
        <f t="shared" si="16"/>
        <v>5.5555555555555358E-3</v>
      </c>
      <c r="V32" s="23">
        <v>5.5555555555555558E-3</v>
      </c>
      <c r="W32" s="23">
        <f t="shared" si="17"/>
        <v>3.6805555555555557E-2</v>
      </c>
      <c r="X32" s="23">
        <f t="shared" si="18"/>
        <v>0.43124999999999997</v>
      </c>
      <c r="Y32" s="23">
        <f t="shared" si="19"/>
        <v>0</v>
      </c>
      <c r="Z32" s="23"/>
      <c r="AA32" s="23">
        <f t="shared" si="20"/>
        <v>0.39444444444444443</v>
      </c>
      <c r="AB32" s="30">
        <f t="shared" si="21"/>
        <v>3.6805555555555536E-2</v>
      </c>
      <c r="AC32" s="30">
        <f>SUMIF($S$4:S32,S32,$AB$4:AB32)</f>
        <v>0.11041666666666664</v>
      </c>
      <c r="AD32" s="23">
        <f>_xlfn.IFNA(VLOOKUP(VeredaTr127[[#This Row],[BUS]],_xlfn._xlws.SORT(TrCeib116[[BUS]:[T2]],11,-1,FALSE),11,FALSE),0)</f>
        <v>0.33888888888888874</v>
      </c>
      <c r="AE32" s="23">
        <f>+VeredaTr127[[#This Row],[∑VeredaTr]]+VeredaTr127[[#This Row],[T2]]</f>
        <v>0.4493055555555554</v>
      </c>
    </row>
    <row r="33" spans="2:31" x14ac:dyDescent="0.35">
      <c r="B33" s="49">
        <v>6</v>
      </c>
      <c r="C33" s="23">
        <v>0.40902777777777777</v>
      </c>
      <c r="D33" s="23">
        <f t="shared" si="8"/>
        <v>9.0277777777777457E-3</v>
      </c>
      <c r="E33" s="23">
        <v>1.0416666666666666E-2</v>
      </c>
      <c r="F33" s="23">
        <f t="shared" si="0"/>
        <v>4.2361111111111106E-2</v>
      </c>
      <c r="G33" s="23">
        <f t="shared" si="24"/>
        <v>0.4513888888888889</v>
      </c>
      <c r="H33" s="23">
        <f t="shared" si="25"/>
        <v>1.3888888888889395E-3</v>
      </c>
      <c r="I33" s="23"/>
      <c r="J33" s="23">
        <f t="shared" si="23"/>
        <v>0.41041666666666671</v>
      </c>
      <c r="K33" s="30">
        <f>(G33-C33)+TrCeib116[[#This Row],[Tt_tex]]</f>
        <v>4.2361111111111127E-2</v>
      </c>
      <c r="L33" s="30">
        <f>SUMIF(B$4:$B33,TrCeib116[[#This Row],[BUS]],$K$4:K33)</f>
        <v>0.1256944444444445</v>
      </c>
      <c r="M33" s="23">
        <f>_xlfn.IFNA(VLOOKUP(TrCeib116[[#This Row],[BUS]],_xlfn._xlws.SORT(VeredaTr127[[BUS]:[T2]],11,-1,FALSE),11,FALSE),0)</f>
        <v>0.29444444444444429</v>
      </c>
      <c r="N33" s="23">
        <f>+TrCeib116[[#This Row],[∑TrCeib]]+TrCeib116[[#This Row],[T2]]</f>
        <v>0.42013888888888878</v>
      </c>
      <c r="O33" s="23"/>
      <c r="P33" s="40"/>
      <c r="Q33"/>
      <c r="R33" s="22"/>
      <c r="S33" s="51">
        <v>16</v>
      </c>
      <c r="T33" s="23">
        <v>0.40347222222222223</v>
      </c>
      <c r="U33" s="23">
        <f t="shared" ref="U33:U40" si="26">T33-T32</f>
        <v>9.0277777777778012E-3</v>
      </c>
      <c r="V33" s="23">
        <v>9.0277777777777787E-3</v>
      </c>
      <c r="W33" s="23">
        <f t="shared" si="17"/>
        <v>3.6805555555555557E-2</v>
      </c>
      <c r="X33" s="23">
        <f t="shared" si="18"/>
        <v>0.44027777777777777</v>
      </c>
      <c r="Y33" s="23">
        <f t="shared" si="19"/>
        <v>0</v>
      </c>
      <c r="Z33" s="23"/>
      <c r="AA33" s="23">
        <f t="shared" si="20"/>
        <v>0.40347222222222223</v>
      </c>
      <c r="AB33" s="30">
        <f t="shared" si="21"/>
        <v>3.6805555555555536E-2</v>
      </c>
      <c r="AC33" s="30">
        <f>SUMIF($S$4:S33,S33,$AB$4:AB33)</f>
        <v>7.3611111111111072E-2</v>
      </c>
      <c r="AD33" s="23">
        <f>_xlfn.IFNA(VLOOKUP(VeredaTr127[[#This Row],[BUS]],_xlfn._xlws.SORT(TrCeib116[[BUS]:[T2]],11,-1,FALSE),11,FALSE),0)</f>
        <v>0.29444444444444429</v>
      </c>
      <c r="AE33" s="23">
        <f>+VeredaTr127[[#This Row],[∑VeredaTr]]+VeredaTr127[[#This Row],[T2]]</f>
        <v>0.36805555555555536</v>
      </c>
    </row>
    <row r="34" spans="2:31" x14ac:dyDescent="0.35">
      <c r="B34" s="51">
        <v>14</v>
      </c>
      <c r="C34" s="23">
        <v>0.4145833333333333</v>
      </c>
      <c r="D34" s="23">
        <f t="shared" si="8"/>
        <v>5.5555555555555358E-3</v>
      </c>
      <c r="E34" s="23">
        <v>1.0416666666666666E-2</v>
      </c>
      <c r="F34" s="23">
        <f t="shared" si="0"/>
        <v>4.2361111111111106E-2</v>
      </c>
      <c r="G34" s="23">
        <f t="shared" si="24"/>
        <v>0.45694444444444443</v>
      </c>
      <c r="H34" s="23">
        <f t="shared" si="25"/>
        <v>4.8611111111111494E-3</v>
      </c>
      <c r="I34" s="23"/>
      <c r="J34" s="23">
        <f t="shared" si="23"/>
        <v>0.41944444444444445</v>
      </c>
      <c r="K34" s="30">
        <f>(G34-C34)+TrCeib116[[#This Row],[Tt_tex]]</f>
        <v>4.2361111111111127E-2</v>
      </c>
      <c r="L34" s="30">
        <f>SUMIF(B$4:$B34,TrCeib116[[#This Row],[BUS]],$K$4:K34)</f>
        <v>8.4722222222222254E-2</v>
      </c>
      <c r="M34" s="23">
        <f>_xlfn.IFNA(VLOOKUP(TrCeib116[[#This Row],[BUS]],_xlfn._xlws.SORT(VeredaTr127[[BUS]:[T2]],11,-1,FALSE),11,FALSE),0)</f>
        <v>0.29444444444444434</v>
      </c>
      <c r="N34" s="23">
        <f>+TrCeib116[[#This Row],[∑TrCeib]]+TrCeib116[[#This Row],[T2]]</f>
        <v>0.3791666666666666</v>
      </c>
      <c r="O34" s="23"/>
      <c r="P34" s="40"/>
      <c r="Q34"/>
      <c r="S34" s="49">
        <v>10</v>
      </c>
      <c r="T34" s="23">
        <v>0.41250000000000003</v>
      </c>
      <c r="U34" s="23">
        <f t="shared" si="26"/>
        <v>9.0277777777778012E-3</v>
      </c>
      <c r="V34" s="23">
        <v>9.0277777777777787E-3</v>
      </c>
      <c r="W34" s="23">
        <f t="shared" si="17"/>
        <v>3.6805555555555557E-2</v>
      </c>
      <c r="X34" s="23">
        <f t="shared" si="18"/>
        <v>0.44930555555555557</v>
      </c>
      <c r="Y34" s="23">
        <f t="shared" si="19"/>
        <v>0</v>
      </c>
      <c r="Z34" s="23">
        <v>1.3888888888889395E-3</v>
      </c>
      <c r="AA34" s="23">
        <f t="shared" si="20"/>
        <v>0.41250000000000003</v>
      </c>
      <c r="AB34" s="30">
        <f t="shared" si="21"/>
        <v>3.6805555555555536E-2</v>
      </c>
      <c r="AC34" s="30">
        <f>SUMIF($S$4:S34,S34,$AB$4:AB34)</f>
        <v>0.11041666666666661</v>
      </c>
      <c r="AD34" s="23">
        <f>_xlfn.IFNA(VLOOKUP(VeredaTr127[[#This Row],[BUS]],_xlfn._xlws.SORT(TrCeib116[[BUS]:[T2]],11,-1,FALSE),11,FALSE),0)</f>
        <v>0.16944444444444445</v>
      </c>
      <c r="AE34" s="23">
        <f>+VeredaTr127[[#This Row],[∑VeredaTr]]+VeredaTr127[[#This Row],[T2]]</f>
        <v>0.27986111111111106</v>
      </c>
    </row>
    <row r="35" spans="2:31" x14ac:dyDescent="0.35">
      <c r="B35" s="49">
        <v>7</v>
      </c>
      <c r="C35" s="23">
        <v>0.42013888888888884</v>
      </c>
      <c r="D35" s="23">
        <f t="shared" si="8"/>
        <v>5.5555555555555358E-3</v>
      </c>
      <c r="E35" s="23">
        <v>1.0416666666666666E-2</v>
      </c>
      <c r="F35" s="23">
        <f t="shared" si="0"/>
        <v>4.2361111111111106E-2</v>
      </c>
      <c r="G35" s="23">
        <f t="shared" si="24"/>
        <v>0.46249999999999997</v>
      </c>
      <c r="H35" s="23">
        <f t="shared" si="25"/>
        <v>4.8611111111111494E-3</v>
      </c>
      <c r="I35" s="23"/>
      <c r="J35" s="23">
        <f t="shared" si="23"/>
        <v>0.42499999999999999</v>
      </c>
      <c r="K35" s="30">
        <f>(G35-C35)+TrCeib116[[#This Row],[Tt_tex]]</f>
        <v>4.2361111111111127E-2</v>
      </c>
      <c r="L35" s="30">
        <f>SUMIF(B$4:$B35,TrCeib116[[#This Row],[BUS]],$K$4:K35)</f>
        <v>0.12708333333333338</v>
      </c>
      <c r="M35" s="23">
        <f>_xlfn.IFNA(VLOOKUP(TrCeib116[[#This Row],[BUS]],_xlfn._xlws.SORT(VeredaTr127[[BUS]:[T2]],11,-1,FALSE),11,FALSE),0)</f>
        <v>0.18402777777777771</v>
      </c>
      <c r="N35" s="23">
        <f>+TrCeib116[[#This Row],[∑TrCeib]]+TrCeib116[[#This Row],[T2]]</f>
        <v>0.31111111111111112</v>
      </c>
      <c r="O35" s="23"/>
      <c r="P35" s="40"/>
      <c r="Q35"/>
      <c r="R35" s="22"/>
      <c r="S35" s="48">
        <v>1</v>
      </c>
      <c r="T35" s="23">
        <v>0.42152777777777783</v>
      </c>
      <c r="U35" s="23">
        <f t="shared" si="26"/>
        <v>9.0277777777778012E-3</v>
      </c>
      <c r="V35" s="23">
        <v>9.0277777777777787E-3</v>
      </c>
      <c r="W35" s="23">
        <f t="shared" si="17"/>
        <v>3.6805555555555557E-2</v>
      </c>
      <c r="X35" s="23">
        <f t="shared" si="18"/>
        <v>0.45833333333333337</v>
      </c>
      <c r="Y35" s="23">
        <f t="shared" si="19"/>
        <v>0</v>
      </c>
      <c r="Z35" s="23">
        <v>2.7777777777778234E-3</v>
      </c>
      <c r="AA35" s="23">
        <f t="shared" si="20"/>
        <v>0.42152777777777783</v>
      </c>
      <c r="AB35" s="30">
        <f t="shared" si="21"/>
        <v>3.6805555555555536E-2</v>
      </c>
      <c r="AC35" s="30">
        <f>SUMIF($S$4:S35,S35,$AB$4:AB35)</f>
        <v>0.11041666666666661</v>
      </c>
      <c r="AD35" s="23">
        <f>_xlfn.IFNA(VLOOKUP(VeredaTr127[[#This Row],[BUS]],_xlfn._xlws.SORT(TrCeib116[[BUS]:[T2]],11,-1,FALSE),11,FALSE),0)</f>
        <v>0.21180555555555552</v>
      </c>
      <c r="AE35" s="23">
        <f>+VeredaTr127[[#This Row],[∑VeredaTr]]+VeredaTr127[[#This Row],[T2]]</f>
        <v>0.32222222222222213</v>
      </c>
    </row>
    <row r="36" spans="2:31" x14ac:dyDescent="0.35">
      <c r="B36" s="51">
        <v>15</v>
      </c>
      <c r="C36" s="23">
        <v>0.42569444444444443</v>
      </c>
      <c r="D36" s="23">
        <f t="shared" si="8"/>
        <v>5.5555555555555913E-3</v>
      </c>
      <c r="E36" s="23">
        <v>1.0416666666666666E-2</v>
      </c>
      <c r="F36" s="23">
        <f t="shared" si="0"/>
        <v>4.2361111111111106E-2</v>
      </c>
      <c r="G36" s="23">
        <f t="shared" si="24"/>
        <v>0.46805555555555556</v>
      </c>
      <c r="H36" s="23">
        <f t="shared" si="25"/>
        <v>4.8611111111110938E-3</v>
      </c>
      <c r="I36" s="23"/>
      <c r="J36" s="23">
        <f t="shared" si="23"/>
        <v>0.43055555555555552</v>
      </c>
      <c r="K36" s="30">
        <f>(G36-C36)+TrCeib116[[#This Row],[Tt_tex]]</f>
        <v>4.2361111111111127E-2</v>
      </c>
      <c r="L36" s="30">
        <f>SUMIF(B$4:$B36,TrCeib116[[#This Row],[BUS]],$K$4:K36)</f>
        <v>8.4722222222222254E-2</v>
      </c>
      <c r="M36" s="23">
        <f>_xlfn.IFNA(VLOOKUP(TrCeib116[[#This Row],[BUS]],_xlfn._xlws.SORT(VeredaTr127[[BUS]:[T2]],11,-1,FALSE),11,FALSE),0)</f>
        <v>0.29444444444444434</v>
      </c>
      <c r="N36" s="23">
        <f>+TrCeib116[[#This Row],[∑TrCeib]]+TrCeib116[[#This Row],[T2]]</f>
        <v>0.3791666666666666</v>
      </c>
      <c r="O36" s="23"/>
      <c r="P36" s="40"/>
      <c r="Q36"/>
      <c r="S36" s="48">
        <v>2</v>
      </c>
      <c r="T36" s="23">
        <v>0.43055555555555564</v>
      </c>
      <c r="U36" s="23">
        <f t="shared" si="26"/>
        <v>9.0277777777778012E-3</v>
      </c>
      <c r="V36" s="23">
        <v>9.0277777777777787E-3</v>
      </c>
      <c r="W36" s="23">
        <f t="shared" si="17"/>
        <v>3.6805555555555557E-2</v>
      </c>
      <c r="X36" s="23">
        <f t="shared" si="18"/>
        <v>0.46736111111111117</v>
      </c>
      <c r="Y36" s="23">
        <f t="shared" si="19"/>
        <v>0</v>
      </c>
      <c r="Z36" s="23">
        <v>2.7777777777778234E-3</v>
      </c>
      <c r="AA36" s="23">
        <f t="shared" si="20"/>
        <v>0.43055555555555564</v>
      </c>
      <c r="AB36" s="30">
        <f t="shared" si="21"/>
        <v>3.6805555555555536E-2</v>
      </c>
      <c r="AC36" s="30">
        <f>SUMIF($S$4:S36,S36,$AB$4:AB36)</f>
        <v>0.11041666666666661</v>
      </c>
      <c r="AD36" s="23">
        <f>_xlfn.IFNA(VLOOKUP(VeredaTr127[[#This Row],[BUS]],_xlfn._xlws.SORT(TrCeib116[[BUS]:[T2]],11,-1,FALSE),11,FALSE),0)</f>
        <v>0.21180555555555555</v>
      </c>
      <c r="AE36" s="23">
        <f>+VeredaTr127[[#This Row],[∑VeredaTr]]+VeredaTr127[[#This Row],[T2]]</f>
        <v>0.32222222222222219</v>
      </c>
    </row>
    <row r="37" spans="2:31" x14ac:dyDescent="0.35">
      <c r="B37" s="49">
        <v>8</v>
      </c>
      <c r="C37" s="23">
        <v>0.43124999999999997</v>
      </c>
      <c r="D37" s="23">
        <f t="shared" si="8"/>
        <v>5.5555555555555358E-3</v>
      </c>
      <c r="E37" s="23">
        <v>1.0416666666666666E-2</v>
      </c>
      <c r="F37" s="23">
        <f t="shared" si="0"/>
        <v>4.2361111111111106E-2</v>
      </c>
      <c r="G37" s="23">
        <f t="shared" si="24"/>
        <v>0.47361111111111109</v>
      </c>
      <c r="H37" s="23">
        <f t="shared" si="25"/>
        <v>4.8611111111111494E-3</v>
      </c>
      <c r="I37" s="23"/>
      <c r="J37" s="23">
        <f t="shared" si="23"/>
        <v>0.43611111111111112</v>
      </c>
      <c r="K37" s="30">
        <f>(G37-C37)+TrCeib116[[#This Row],[Tt_tex]]</f>
        <v>4.2361111111111127E-2</v>
      </c>
      <c r="L37" s="30">
        <f>SUMIF(B$4:$B37,TrCeib116[[#This Row],[BUS]],$K$4:K37)</f>
        <v>0.12708333333333338</v>
      </c>
      <c r="M37" s="23">
        <f>_xlfn.IFNA(VLOOKUP(TrCeib116[[#This Row],[BUS]],_xlfn._xlws.SORT(VeredaTr127[[BUS]:[T2]],11,-1,FALSE),11,FALSE),0)</f>
        <v>0.33124999999999982</v>
      </c>
      <c r="N37" s="23">
        <f>+TrCeib116[[#This Row],[∑TrCeib]]+TrCeib116[[#This Row],[T2]]</f>
        <v>0.4583333333333332</v>
      </c>
      <c r="O37" s="23"/>
      <c r="P37" s="40"/>
      <c r="Q37"/>
      <c r="S37" s="50">
        <v>12</v>
      </c>
      <c r="T37" s="23">
        <v>0.43958333333333344</v>
      </c>
      <c r="U37" s="23">
        <f t="shared" si="26"/>
        <v>9.0277777777778012E-3</v>
      </c>
      <c r="V37" s="23">
        <v>9.0277777777777787E-3</v>
      </c>
      <c r="W37" s="23">
        <f t="shared" si="17"/>
        <v>3.6805555555555557E-2</v>
      </c>
      <c r="X37" s="23">
        <f t="shared" si="18"/>
        <v>0.47638888888888897</v>
      </c>
      <c r="Y37" s="23">
        <f t="shared" si="19"/>
        <v>0</v>
      </c>
      <c r="Z37" s="23">
        <v>6.2500000000000888E-3</v>
      </c>
      <c r="AA37" s="23">
        <f t="shared" si="20"/>
        <v>0.43958333333333344</v>
      </c>
      <c r="AB37" s="30">
        <f t="shared" si="21"/>
        <v>3.6805555555555536E-2</v>
      </c>
      <c r="AC37" s="30">
        <f>SUMIF($S$4:S37,S37,$AB$4:AB37)</f>
        <v>7.3611111111111072E-2</v>
      </c>
      <c r="AD37" s="23">
        <f>_xlfn.IFNA(VLOOKUP(VeredaTr127[[#This Row],[BUS]],_xlfn._xlws.SORT(TrCeib116[[BUS]:[T2]],11,-1,FALSE),11,FALSE),0)</f>
        <v>0.21180555555555547</v>
      </c>
      <c r="AE37" s="23">
        <f>+VeredaTr127[[#This Row],[∑VeredaTr]]+VeredaTr127[[#This Row],[T2]]</f>
        <v>0.28541666666666654</v>
      </c>
    </row>
    <row r="38" spans="2:31" x14ac:dyDescent="0.35">
      <c r="B38" s="51">
        <v>16</v>
      </c>
      <c r="C38" s="23">
        <v>0.44027777777777777</v>
      </c>
      <c r="D38" s="23">
        <f t="shared" si="8"/>
        <v>9.0277777777778012E-3</v>
      </c>
      <c r="E38" s="23">
        <v>1.0416666666666666E-2</v>
      </c>
      <c r="F38" s="23">
        <f t="shared" si="0"/>
        <v>4.2361111111111106E-2</v>
      </c>
      <c r="G38" s="23">
        <f t="shared" si="24"/>
        <v>0.4826388888888889</v>
      </c>
      <c r="H38" s="23">
        <f t="shared" si="25"/>
        <v>1.388888888888884E-3</v>
      </c>
      <c r="I38" s="23"/>
      <c r="J38" s="23">
        <f t="shared" si="23"/>
        <v>0.44166666666666665</v>
      </c>
      <c r="K38" s="30">
        <f>(G38-C38)+TrCeib116[[#This Row],[Tt_tex]]</f>
        <v>4.2361111111111127E-2</v>
      </c>
      <c r="L38" s="30">
        <f>SUMIF(B$4:$B38,TrCeib116[[#This Row],[BUS]],$K$4:K38)</f>
        <v>8.2638888888888928E-2</v>
      </c>
      <c r="M38" s="23">
        <f>_xlfn.IFNA(VLOOKUP(TrCeib116[[#This Row],[BUS]],_xlfn._xlws.SORT(VeredaTr127[[BUS]:[T2]],11,-1,FALSE),11,FALSE),0)</f>
        <v>0.29444444444444429</v>
      </c>
      <c r="N38" s="23">
        <f>+TrCeib116[[#This Row],[∑TrCeib]]+TrCeib116[[#This Row],[T2]]</f>
        <v>0.37708333333333321</v>
      </c>
      <c r="O38" s="23"/>
      <c r="P38" s="40"/>
      <c r="Q38"/>
      <c r="S38" s="50">
        <v>13</v>
      </c>
      <c r="T38" s="23">
        <v>0.44861111111111124</v>
      </c>
      <c r="U38" s="23">
        <f t="shared" si="26"/>
        <v>9.0277777777778012E-3</v>
      </c>
      <c r="V38" s="23">
        <v>9.0277777777777787E-3</v>
      </c>
      <c r="W38" s="23">
        <f t="shared" si="17"/>
        <v>3.6805555555555557E-2</v>
      </c>
      <c r="X38" s="23">
        <f t="shared" si="18"/>
        <v>0.48541666666666677</v>
      </c>
      <c r="Y38" s="23">
        <f t="shared" si="19"/>
        <v>0</v>
      </c>
      <c r="Z38" s="23">
        <v>6.2500000000000888E-3</v>
      </c>
      <c r="AA38" s="23">
        <f t="shared" si="20"/>
        <v>0.44861111111111124</v>
      </c>
      <c r="AB38" s="30">
        <f t="shared" si="21"/>
        <v>3.6805555555555536E-2</v>
      </c>
      <c r="AC38" s="30">
        <f>SUMIF($S$4:S38,S38,$AB$4:AB38)</f>
        <v>7.3611111111111072E-2</v>
      </c>
      <c r="AD38" s="23">
        <f>_xlfn.IFNA(VLOOKUP(VeredaTr127[[#This Row],[BUS]],_xlfn._xlws.SORT(TrCeib116[[BUS]:[T2]],11,-1,FALSE),11,FALSE),0)</f>
        <v>0.21180555555555552</v>
      </c>
      <c r="AE38" s="23">
        <f>+VeredaTr127[[#This Row],[∑VeredaTr]]+VeredaTr127[[#This Row],[T2]]</f>
        <v>0.2854166666666666</v>
      </c>
    </row>
    <row r="39" spans="2:31" x14ac:dyDescent="0.35">
      <c r="B39" s="49">
        <v>10</v>
      </c>
      <c r="C39" s="23">
        <v>0.44930555555555557</v>
      </c>
      <c r="D39" s="23">
        <f t="shared" si="8"/>
        <v>9.0277777777778012E-3</v>
      </c>
      <c r="E39" s="23">
        <v>1.0416666666666666E-2</v>
      </c>
      <c r="F39" s="23">
        <f t="shared" si="0"/>
        <v>4.2361111111111106E-2</v>
      </c>
      <c r="G39" s="23">
        <f t="shared" si="24"/>
        <v>0.4916666666666667</v>
      </c>
      <c r="H39" s="23">
        <f t="shared" si="25"/>
        <v>1.388888888888884E-3</v>
      </c>
      <c r="I39" s="23"/>
      <c r="J39" s="23">
        <f t="shared" si="23"/>
        <v>0.45069444444444445</v>
      </c>
      <c r="K39" s="30">
        <f>(G39-C39)+TrCeib116[[#This Row],[Tt_tex]]</f>
        <v>4.2361111111111127E-2</v>
      </c>
      <c r="L39" s="30">
        <f>SUMIF(B$4:$B39,TrCeib116[[#This Row],[BUS]],$K$4:K39)</f>
        <v>0.12708333333333338</v>
      </c>
      <c r="M39" s="23">
        <f>_xlfn.IFNA(VLOOKUP(TrCeib116[[#This Row],[BUS]],_xlfn._xlws.SORT(VeredaTr127[[BUS]:[T2]],11,-1,FALSE),11,FALSE),0)</f>
        <v>0.18402777777777768</v>
      </c>
      <c r="N39" s="23">
        <f>+TrCeib116[[#This Row],[∑TrCeib]]+TrCeib116[[#This Row],[T2]]</f>
        <v>0.31111111111111106</v>
      </c>
      <c r="O39" s="23"/>
      <c r="P39" s="40"/>
      <c r="Q39"/>
      <c r="S39" s="49">
        <v>6</v>
      </c>
      <c r="T39" s="23">
        <v>0.45763888888888904</v>
      </c>
      <c r="U39" s="23">
        <f t="shared" si="26"/>
        <v>9.0277777777778012E-3</v>
      </c>
      <c r="V39" s="23">
        <v>9.0277777777777787E-3</v>
      </c>
      <c r="W39" s="23">
        <f t="shared" si="17"/>
        <v>3.6805555555555557E-2</v>
      </c>
      <c r="X39" s="23">
        <f t="shared" si="18"/>
        <v>0.49444444444444458</v>
      </c>
      <c r="Y39" s="23">
        <f t="shared" si="19"/>
        <v>0</v>
      </c>
      <c r="Z39" s="23">
        <v>6.2500000000001443E-3</v>
      </c>
      <c r="AA39" s="23">
        <f t="shared" si="20"/>
        <v>0.45763888888888904</v>
      </c>
      <c r="AB39" s="30">
        <f t="shared" si="21"/>
        <v>3.6805555555555536E-2</v>
      </c>
      <c r="AC39" s="30">
        <f>SUMIF($S$4:S39,S39,$AB$4:AB39)</f>
        <v>0.14722222222222214</v>
      </c>
      <c r="AD39" s="23">
        <f>_xlfn.IFNA(VLOOKUP(VeredaTr127[[#This Row],[BUS]],_xlfn._xlws.SORT(TrCeib116[[BUS]:[T2]],11,-1,FALSE),11,FALSE),0)</f>
        <v>0.33749999999999986</v>
      </c>
      <c r="AE39" s="23">
        <f>+VeredaTr127[[#This Row],[∑VeredaTr]]+VeredaTr127[[#This Row],[T2]]</f>
        <v>0.484722222222222</v>
      </c>
    </row>
    <row r="40" spans="2:31" x14ac:dyDescent="0.35">
      <c r="B40" s="48">
        <v>1</v>
      </c>
      <c r="C40" s="23">
        <v>0.45833333333333337</v>
      </c>
      <c r="D40" s="23">
        <f t="shared" si="8"/>
        <v>9.0277777777778012E-3</v>
      </c>
      <c r="E40" s="23">
        <v>1.0416666666666666E-2</v>
      </c>
      <c r="F40" s="23">
        <f t="shared" si="0"/>
        <v>4.2361111111111106E-2</v>
      </c>
      <c r="G40" s="23">
        <f t="shared" si="24"/>
        <v>0.50069444444444444</v>
      </c>
      <c r="H40" s="23">
        <f t="shared" si="25"/>
        <v>1.388888888888884E-3</v>
      </c>
      <c r="I40" s="23"/>
      <c r="J40" s="23">
        <f t="shared" si="23"/>
        <v>0.45972222222222225</v>
      </c>
      <c r="K40" s="30">
        <f>(G40-C40)+TrCeib116[[#This Row],[Tt_tex]]</f>
        <v>4.2361111111111072E-2</v>
      </c>
      <c r="L40" s="30">
        <f>SUMIF(B$4:$B98,TrCeib116[[#This Row],[BUS]],$K$4:K98)</f>
        <v>0.21180555555555552</v>
      </c>
      <c r="M40" s="23">
        <f>_xlfn.IFNA(VLOOKUP(TrCeib116[[#This Row],[BUS]],_xlfn._xlws.SORT(VeredaTr127[[BUS]:[T2]],11,-1,FALSE),11,FALSE),0)</f>
        <v>0.14722222222222214</v>
      </c>
      <c r="N40" s="23">
        <f>+TrCeib116[[#This Row],[∑TrCeib]]+TrCeib116[[#This Row],[T2]]</f>
        <v>0.35902777777777767</v>
      </c>
      <c r="O40" s="23"/>
      <c r="P40" s="40"/>
      <c r="Q40"/>
      <c r="S40" s="51">
        <v>14</v>
      </c>
      <c r="T40" s="23">
        <v>0.46666666666666684</v>
      </c>
      <c r="U40" s="23">
        <f t="shared" si="26"/>
        <v>9.0277777777778012E-3</v>
      </c>
      <c r="V40" s="23">
        <v>9.0277777777777787E-3</v>
      </c>
      <c r="W40" s="23">
        <f t="shared" si="17"/>
        <v>3.6805555555555557E-2</v>
      </c>
      <c r="X40" s="23">
        <f t="shared" si="18"/>
        <v>0.50347222222222243</v>
      </c>
      <c r="Y40" s="23">
        <f t="shared" si="19"/>
        <v>0</v>
      </c>
      <c r="Z40" s="23">
        <v>9.7222222222224097E-3</v>
      </c>
      <c r="AA40" s="23">
        <f t="shared" si="20"/>
        <v>0.46666666666666684</v>
      </c>
      <c r="AB40" s="30">
        <f t="shared" si="21"/>
        <v>3.6805555555555591E-2</v>
      </c>
      <c r="AC40" s="30">
        <f>SUMIF($S$4:S40,S40,$AB$4:AB40)</f>
        <v>0.11041666666666666</v>
      </c>
      <c r="AD40" s="23">
        <f>_xlfn.IFNA(VLOOKUP(VeredaTr127[[#This Row],[BUS]],_xlfn._xlws.SORT(TrCeib116[[BUS]:[T2]],11,-1,FALSE),11,FALSE),0)</f>
        <v>0.29652777777777761</v>
      </c>
      <c r="AE40" s="23">
        <f>+VeredaTr127[[#This Row],[∑VeredaTr]]+VeredaTr127[[#This Row],[T2]]</f>
        <v>0.40694444444444428</v>
      </c>
    </row>
    <row r="41" spans="2:31" x14ac:dyDescent="0.35">
      <c r="B41" s="48">
        <v>2</v>
      </c>
      <c r="C41" s="23">
        <v>0.46736111111111117</v>
      </c>
      <c r="D41" s="23">
        <f t="shared" ref="D41:D98" si="27">C41-C40</f>
        <v>9.0277777777778012E-3</v>
      </c>
      <c r="E41" s="23">
        <v>1.0416666666666666E-2</v>
      </c>
      <c r="F41" s="23">
        <f t="shared" ref="F41:F43" si="28">+$D$2</f>
        <v>4.2361111111111106E-2</v>
      </c>
      <c r="G41" s="23">
        <f t="shared" ref="G41:G43" si="29">C41+F41</f>
        <v>0.5097222222222223</v>
      </c>
      <c r="H41" s="23">
        <f t="shared" ref="H41:H43" si="30">+(C40+E41)-C41</f>
        <v>1.388888888888884E-3</v>
      </c>
      <c r="I41" s="23"/>
      <c r="J41" s="23">
        <f t="shared" ref="J41:J43" si="31">+C41+H41</f>
        <v>0.46875000000000006</v>
      </c>
      <c r="K41" s="30">
        <f>(G41-C41)+TrCeib116[[#This Row],[Tt_tex]]</f>
        <v>4.2361111111111127E-2</v>
      </c>
      <c r="L41" s="30">
        <f>SUMIF(B$4:$B41,TrCeib116[[#This Row],[BUS]],$K$4:K41)</f>
        <v>0.16944444444444448</v>
      </c>
      <c r="M41" s="23">
        <f>_xlfn.IFNA(VLOOKUP(TrCeib116[[#This Row],[BUS]],_xlfn._xlws.SORT(VeredaTr127[[BUS]:[T2]],11,-1,FALSE),11,FALSE),0)</f>
        <v>0.14722222222222214</v>
      </c>
      <c r="N41" s="23">
        <f>+TrCeib116[[#This Row],[∑TrCeib]]+TrCeib116[[#This Row],[T2]]</f>
        <v>0.31666666666666665</v>
      </c>
      <c r="O41" s="23"/>
      <c r="P41" s="40"/>
      <c r="Q41"/>
      <c r="S41" s="49">
        <v>7</v>
      </c>
      <c r="T41" s="23">
        <v>0.47569444444444464</v>
      </c>
      <c r="U41" s="23">
        <f t="shared" ref="U41:U49" si="32">T41-T40</f>
        <v>9.0277777777778012E-3</v>
      </c>
      <c r="V41" s="23">
        <v>9.0277777777777787E-3</v>
      </c>
      <c r="W41" s="23">
        <f t="shared" si="17"/>
        <v>3.6805555555555557E-2</v>
      </c>
      <c r="X41" s="23">
        <f t="shared" si="18"/>
        <v>0.51250000000000018</v>
      </c>
      <c r="Y41" s="23">
        <f t="shared" si="19"/>
        <v>0</v>
      </c>
      <c r="Z41" s="23">
        <v>1.3194444444444675E-2</v>
      </c>
      <c r="AA41" s="23">
        <f t="shared" si="20"/>
        <v>0.47569444444444464</v>
      </c>
      <c r="AB41" s="30">
        <f t="shared" si="21"/>
        <v>3.6805555555555536E-2</v>
      </c>
      <c r="AC41" s="30">
        <f>SUMIF($S$4:S41,S41,$AB$4:AB41)</f>
        <v>0.14722222222222217</v>
      </c>
      <c r="AD41" s="23">
        <f>_xlfn.IFNA(VLOOKUP(VeredaTr127[[#This Row],[BUS]],_xlfn._xlws.SORT(TrCeib116[[BUS]:[T2]],11,-1,FALSE),11,FALSE),0)</f>
        <v>0.16944444444444445</v>
      </c>
      <c r="AE41" s="23">
        <f>+VeredaTr127[[#This Row],[∑VeredaTr]]+VeredaTr127[[#This Row],[T2]]</f>
        <v>0.31666666666666665</v>
      </c>
    </row>
    <row r="42" spans="2:31" x14ac:dyDescent="0.35">
      <c r="B42" s="50">
        <v>12</v>
      </c>
      <c r="C42" s="23">
        <v>0.47638888888888897</v>
      </c>
      <c r="D42" s="23">
        <f t="shared" si="27"/>
        <v>9.0277777777778012E-3</v>
      </c>
      <c r="E42" s="23">
        <v>1.0416666666666666E-2</v>
      </c>
      <c r="F42" s="23">
        <f t="shared" si="28"/>
        <v>4.2361111111111106E-2</v>
      </c>
      <c r="G42" s="23">
        <f t="shared" si="29"/>
        <v>0.51875000000000004</v>
      </c>
      <c r="H42" s="23">
        <f t="shared" si="30"/>
        <v>1.388888888888884E-3</v>
      </c>
      <c r="I42" s="23"/>
      <c r="J42" s="23">
        <f t="shared" si="31"/>
        <v>0.47777777777777786</v>
      </c>
      <c r="K42" s="30">
        <f>(G42-C42)+TrCeib116[[#This Row],[Tt_tex]]</f>
        <v>4.2361111111111072E-2</v>
      </c>
      <c r="L42" s="30">
        <f>SUMIF(B$4:$B42,TrCeib116[[#This Row],[BUS]],$K$4:K42)</f>
        <v>0.12708333333333333</v>
      </c>
      <c r="M42" s="23">
        <f>_xlfn.IFNA(VLOOKUP(TrCeib116[[#This Row],[BUS]],_xlfn._xlws.SORT(VeredaTr127[[BUS]:[T2]],11,-1,FALSE),11,FALSE),0)</f>
        <v>0.14722222222222214</v>
      </c>
      <c r="N42" s="23">
        <f>+TrCeib116[[#This Row],[∑TrCeib]]+TrCeib116[[#This Row],[T2]]</f>
        <v>0.27430555555555547</v>
      </c>
      <c r="O42" s="23"/>
      <c r="P42" s="40"/>
      <c r="Q42"/>
      <c r="S42" s="51">
        <v>15</v>
      </c>
      <c r="T42" s="23">
        <v>0.48472222222222244</v>
      </c>
      <c r="U42" s="23">
        <f t="shared" si="32"/>
        <v>9.0277777777778012E-3</v>
      </c>
      <c r="V42" s="23">
        <v>6.2499999999999995E-3</v>
      </c>
      <c r="W42" s="23">
        <f t="shared" si="17"/>
        <v>3.6805555555555557E-2</v>
      </c>
      <c r="X42" s="23">
        <f t="shared" si="18"/>
        <v>0.52152777777777803</v>
      </c>
      <c r="Y42" s="23">
        <f t="shared" si="19"/>
        <v>-2.7777777777778234E-3</v>
      </c>
      <c r="Z42" s="23">
        <v>1.6666666666666885E-2</v>
      </c>
      <c r="AA42" s="23">
        <f t="shared" si="20"/>
        <v>0.48194444444444462</v>
      </c>
      <c r="AB42" s="30">
        <f t="shared" si="21"/>
        <v>3.6805555555555591E-2</v>
      </c>
      <c r="AC42" s="30">
        <f>SUMIF($S$4:S42,S42,$AB$4:AB42)</f>
        <v>0.11041666666666666</v>
      </c>
      <c r="AD42" s="23">
        <f>_xlfn.IFNA(VLOOKUP(VeredaTr127[[#This Row],[BUS]],_xlfn._xlws.SORT(TrCeib116[[BUS]:[T2]],11,-1,FALSE),11,FALSE),0)</f>
        <v>0.29652777777777761</v>
      </c>
      <c r="AE42" s="23">
        <f>+VeredaTr127[[#This Row],[∑VeredaTr]]+VeredaTr127[[#This Row],[T2]]</f>
        <v>0.40694444444444428</v>
      </c>
    </row>
    <row r="43" spans="2:31" x14ac:dyDescent="0.35">
      <c r="B43" s="50">
        <v>13</v>
      </c>
      <c r="C43" s="23">
        <v>0.48541666666666677</v>
      </c>
      <c r="D43" s="23">
        <f t="shared" si="27"/>
        <v>9.0277777777778012E-3</v>
      </c>
      <c r="E43" s="23">
        <v>6.9444444444444441E-3</v>
      </c>
      <c r="F43" s="23">
        <f t="shared" si="28"/>
        <v>4.2361111111111106E-2</v>
      </c>
      <c r="G43" s="23">
        <f t="shared" si="29"/>
        <v>0.5277777777777779</v>
      </c>
      <c r="H43" s="23">
        <f t="shared" si="30"/>
        <v>-2.0833333333333814E-3</v>
      </c>
      <c r="I43" s="23"/>
      <c r="J43" s="23">
        <f t="shared" si="31"/>
        <v>0.48333333333333339</v>
      </c>
      <c r="K43" s="30">
        <f>(G43-C43)+TrCeib116[[#This Row],[Tt_tex]]</f>
        <v>4.2361111111111127E-2</v>
      </c>
      <c r="L43" s="30">
        <f>SUMIF(B$4:$B98,TrCeib116[[#This Row],[BUS]],$K$4:K98)</f>
        <v>0.21180555555555552</v>
      </c>
      <c r="M43" s="23">
        <f>_xlfn.IFNA(VLOOKUP(TrCeib116[[#This Row],[BUS]],_xlfn._xlws.SORT(VeredaTr127[[BUS]:[T2]],11,-1,FALSE),11,FALSE),0)</f>
        <v>0.14722222222222214</v>
      </c>
      <c r="N43" s="23">
        <f>+TrCeib116[[#This Row],[∑TrCeib]]+TrCeib116[[#This Row],[T2]]</f>
        <v>0.35902777777777767</v>
      </c>
      <c r="O43" s="23"/>
      <c r="P43" s="40"/>
      <c r="Q43"/>
      <c r="S43" s="49">
        <v>8</v>
      </c>
      <c r="T43" s="23">
        <v>0.49375000000000024</v>
      </c>
      <c r="U43" s="23">
        <f t="shared" si="32"/>
        <v>9.0277777777778012E-3</v>
      </c>
      <c r="V43" s="23">
        <v>6.2499999999999995E-3</v>
      </c>
      <c r="W43" s="23">
        <f t="shared" si="17"/>
        <v>3.6805555555555557E-2</v>
      </c>
      <c r="X43" s="23">
        <f t="shared" si="18"/>
        <v>0.53055555555555578</v>
      </c>
      <c r="Y43" s="23">
        <f t="shared" si="19"/>
        <v>-2.7777777777778234E-3</v>
      </c>
      <c r="Z43" s="23">
        <v>2.013888888888915E-2</v>
      </c>
      <c r="AA43" s="23">
        <f t="shared" si="20"/>
        <v>0.49097222222222242</v>
      </c>
      <c r="AB43" s="30">
        <f t="shared" si="21"/>
        <v>3.6805555555555536E-2</v>
      </c>
      <c r="AC43" s="30">
        <f>SUMIF($S$4:S43,S43,$AB$4:AB43)</f>
        <v>0.14722222222222217</v>
      </c>
      <c r="AD43" s="23">
        <f>_xlfn.IFNA(VLOOKUP(VeredaTr127[[#This Row],[BUS]],_xlfn._xlws.SORT(TrCeib116[[BUS]:[T2]],11,-1,FALSE),11,FALSE),0)</f>
        <v>0.33888888888888874</v>
      </c>
      <c r="AE43" s="23">
        <f>+VeredaTr127[[#This Row],[∑VeredaTr]]+VeredaTr127[[#This Row],[T2]]</f>
        <v>0.48611111111111094</v>
      </c>
    </row>
    <row r="44" spans="2:31" x14ac:dyDescent="0.35">
      <c r="B44" s="49">
        <v>6</v>
      </c>
      <c r="C44" s="23">
        <v>0.49444444444444458</v>
      </c>
      <c r="D44" s="23">
        <f t="shared" si="27"/>
        <v>9.0277777777778012E-3</v>
      </c>
      <c r="E44" s="23">
        <v>6.9444444444444441E-3</v>
      </c>
      <c r="F44" s="23">
        <f t="shared" ref="F44:F98" si="33">+$D$2</f>
        <v>4.2361111111111106E-2</v>
      </c>
      <c r="G44" s="23">
        <f t="shared" ref="G44:G54" si="34">C44+F44</f>
        <v>0.53680555555555565</v>
      </c>
      <c r="H44" s="23">
        <f t="shared" ref="H44:H54" si="35">+(C43+E44)-C44</f>
        <v>-2.0833333333333814E-3</v>
      </c>
      <c r="I44" s="23"/>
      <c r="J44" s="23">
        <f t="shared" ref="J44:J54" si="36">+C44+H44</f>
        <v>0.49236111111111119</v>
      </c>
      <c r="K44" s="30">
        <f>(G44-C44)+TrCeib116[[#This Row],[Tt_tex]]</f>
        <v>4.2361111111111072E-2</v>
      </c>
      <c r="L44" s="30">
        <f>SUMIF(B$4:$B44,TrCeib116[[#This Row],[BUS]],$K$4:K44)</f>
        <v>0.16805555555555557</v>
      </c>
      <c r="M44" s="23">
        <f>_xlfn.IFNA(VLOOKUP(TrCeib116[[#This Row],[BUS]],_xlfn._xlws.SORT(VeredaTr127[[BUS]:[T2]],11,-1,FALSE),11,FALSE),0)</f>
        <v>0.29444444444444429</v>
      </c>
      <c r="N44" s="23">
        <f>+TrCeib116[[#This Row],[∑TrCeib]]+TrCeib116[[#This Row],[T2]]</f>
        <v>0.46249999999999986</v>
      </c>
      <c r="O44" s="23"/>
      <c r="P44"/>
      <c r="Q44"/>
      <c r="S44" s="51">
        <v>16</v>
      </c>
      <c r="T44" s="23">
        <v>0.50000000000000022</v>
      </c>
      <c r="U44" s="23">
        <f t="shared" si="32"/>
        <v>6.2499999999999778E-3</v>
      </c>
      <c r="V44" s="23">
        <v>6.2499999999999995E-3</v>
      </c>
      <c r="W44" s="23">
        <f t="shared" si="17"/>
        <v>3.6805555555555557E-2</v>
      </c>
      <c r="X44" s="23">
        <f t="shared" si="18"/>
        <v>0.53680555555555576</v>
      </c>
      <c r="Y44" s="23">
        <f t="shared" si="19"/>
        <v>0</v>
      </c>
      <c r="Z44" s="23">
        <v>1.7361111111111327E-2</v>
      </c>
      <c r="AA44" s="23">
        <f t="shared" si="20"/>
        <v>0.50000000000000022</v>
      </c>
      <c r="AB44" s="30">
        <f t="shared" si="21"/>
        <v>3.6805555555555536E-2</v>
      </c>
      <c r="AC44" s="30">
        <f>SUMIF($S$4:S101,S44,$AB$4:AB101)</f>
        <v>0.29444444444444429</v>
      </c>
      <c r="AD44" s="23">
        <f>_xlfn.IFNA(VLOOKUP(VeredaTr127[[#This Row],[BUS]],_xlfn._xlws.SORT(TrCeib116[[BUS]:[T2]],11,-1,FALSE),11,FALSE),0)</f>
        <v>0.29444444444444429</v>
      </c>
      <c r="AE44" s="23">
        <f>+VeredaTr127[[#This Row],[∑VeredaTr]]+VeredaTr127[[#This Row],[T2]]</f>
        <v>0.58888888888888857</v>
      </c>
    </row>
    <row r="45" spans="2:31" x14ac:dyDescent="0.35">
      <c r="B45" s="51">
        <v>14</v>
      </c>
      <c r="C45" s="23">
        <v>0.50347222222222243</v>
      </c>
      <c r="D45" s="23">
        <f t="shared" si="27"/>
        <v>9.0277777777778567E-3</v>
      </c>
      <c r="E45" s="23">
        <v>6.9444444444444441E-3</v>
      </c>
      <c r="F45" s="23">
        <f t="shared" si="33"/>
        <v>4.2361111111111106E-2</v>
      </c>
      <c r="G45" s="23">
        <f t="shared" si="34"/>
        <v>0.5458333333333335</v>
      </c>
      <c r="H45" s="23">
        <f t="shared" si="35"/>
        <v>-2.083333333333437E-3</v>
      </c>
      <c r="I45" s="23"/>
      <c r="J45" s="23">
        <f t="shared" si="36"/>
        <v>0.50138888888888899</v>
      </c>
      <c r="K45" s="30">
        <f>(G45-C45)+TrCeib116[[#This Row],[Tt_tex]]</f>
        <v>4.2361111111111072E-2</v>
      </c>
      <c r="L45" s="30">
        <f>SUMIF(B$4:$B45,TrCeib116[[#This Row],[BUS]],$K$4:K45)</f>
        <v>0.12708333333333333</v>
      </c>
      <c r="M45" s="23">
        <f>_xlfn.IFNA(VLOOKUP(TrCeib116[[#This Row],[BUS]],_xlfn._xlws.SORT(VeredaTr127[[BUS]:[T2]],11,-1,FALSE),11,FALSE),0)</f>
        <v>0.29444444444444434</v>
      </c>
      <c r="N45" s="23">
        <f>+TrCeib116[[#This Row],[∑TrCeib]]+TrCeib116[[#This Row],[T2]]</f>
        <v>0.42152777777777767</v>
      </c>
      <c r="O45" s="23"/>
      <c r="P45"/>
      <c r="Q45"/>
      <c r="S45" s="49">
        <v>10</v>
      </c>
      <c r="T45" s="23">
        <v>0.5062500000000002</v>
      </c>
      <c r="U45" s="23">
        <f t="shared" si="32"/>
        <v>6.2499999999999778E-3</v>
      </c>
      <c r="V45" s="23">
        <v>6.2499999999999995E-3</v>
      </c>
      <c r="W45" s="23">
        <f t="shared" ref="W45:W101" si="37">+$U$2</f>
        <v>3.6805555555555557E-2</v>
      </c>
      <c r="X45" s="23">
        <f t="shared" ref="X45:X49" si="38">+T45+W45</f>
        <v>0.54305555555555574</v>
      </c>
      <c r="Y45" s="23">
        <f t="shared" si="19"/>
        <v>0</v>
      </c>
      <c r="Z45" s="23">
        <v>1.4583333333333504E-2</v>
      </c>
      <c r="AA45" s="23">
        <f t="shared" ref="AA45:AA49" si="39">+T45+Y45</f>
        <v>0.5062500000000002</v>
      </c>
      <c r="AB45" s="30">
        <f t="shared" ref="AB45:AB49" si="40">(X45-T45)</f>
        <v>3.6805555555555536E-2</v>
      </c>
      <c r="AC45" s="30">
        <f>SUMIF($S$4:S45,S45,$AB$4:AB45)</f>
        <v>0.14722222222222214</v>
      </c>
      <c r="AD45" s="23">
        <f>_xlfn.IFNA(VLOOKUP(VeredaTr127[[#This Row],[BUS]],_xlfn._xlws.SORT(TrCeib116[[BUS]:[T2]],11,-1,FALSE),11,FALSE),0)</f>
        <v>0.16944444444444445</v>
      </c>
      <c r="AE45" s="23">
        <f>+VeredaTr127[[#This Row],[∑VeredaTr]]+VeredaTr127[[#This Row],[T2]]</f>
        <v>0.3166666666666666</v>
      </c>
    </row>
    <row r="46" spans="2:31" x14ac:dyDescent="0.35">
      <c r="B46" s="49">
        <v>7</v>
      </c>
      <c r="C46" s="23">
        <v>0.51250000000000018</v>
      </c>
      <c r="D46" s="23">
        <f t="shared" si="27"/>
        <v>9.0277777777777457E-3</v>
      </c>
      <c r="E46" s="23">
        <v>6.9444444444444441E-3</v>
      </c>
      <c r="F46" s="23">
        <f t="shared" si="33"/>
        <v>4.2361111111111106E-2</v>
      </c>
      <c r="G46" s="23">
        <f t="shared" si="34"/>
        <v>0.55486111111111125</v>
      </c>
      <c r="H46" s="23">
        <f t="shared" si="35"/>
        <v>-2.0833333333333259E-3</v>
      </c>
      <c r="I46" s="23"/>
      <c r="J46" s="23">
        <f t="shared" si="36"/>
        <v>0.51041666666666685</v>
      </c>
      <c r="K46" s="30">
        <f>(G46-C46)+TrCeib116[[#This Row],[Tt_tex]]</f>
        <v>4.2361111111111072E-2</v>
      </c>
      <c r="L46" s="30">
        <f>SUMIF(B$4:$B46,TrCeib116[[#This Row],[BUS]],$K$4:K46)</f>
        <v>0.16944444444444445</v>
      </c>
      <c r="M46" s="23">
        <f>_xlfn.IFNA(VLOOKUP(TrCeib116[[#This Row],[BUS]],_xlfn._xlws.SORT(VeredaTr127[[BUS]:[T2]],11,-1,FALSE),11,FALSE),0)</f>
        <v>0.18402777777777771</v>
      </c>
      <c r="N46" s="23">
        <f>+TrCeib116[[#This Row],[∑TrCeib]]+TrCeib116[[#This Row],[T2]]</f>
        <v>0.35347222222222219</v>
      </c>
      <c r="O46" s="23"/>
      <c r="P46"/>
      <c r="Q46"/>
      <c r="S46" s="48">
        <v>1</v>
      </c>
      <c r="T46" s="23">
        <v>0.51250000000000018</v>
      </c>
      <c r="U46" s="23">
        <f t="shared" si="32"/>
        <v>6.2499999999999778E-3</v>
      </c>
      <c r="V46" s="23">
        <v>6.2499999999999995E-3</v>
      </c>
      <c r="W46" s="23">
        <f t="shared" si="37"/>
        <v>3.6805555555555557E-2</v>
      </c>
      <c r="X46" s="23">
        <f t="shared" si="38"/>
        <v>0.54930555555555571</v>
      </c>
      <c r="Y46" s="23">
        <f t="shared" si="19"/>
        <v>0</v>
      </c>
      <c r="Z46" s="23">
        <v>1.1805555555555736E-2</v>
      </c>
      <c r="AA46" s="23">
        <f t="shared" si="39"/>
        <v>0.51250000000000018</v>
      </c>
      <c r="AB46" s="30">
        <f t="shared" si="40"/>
        <v>3.6805555555555536E-2</v>
      </c>
      <c r="AC46" s="30">
        <f>SUMIF($S$4:S46,S46,$AB$4:AB46)</f>
        <v>0.14722222222222214</v>
      </c>
      <c r="AD46" s="23">
        <f>_xlfn.IFNA(VLOOKUP(VeredaTr127[[#This Row],[BUS]],_xlfn._xlws.SORT(TrCeib116[[BUS]:[T2]],11,-1,FALSE),11,FALSE),0)</f>
        <v>0.21180555555555552</v>
      </c>
      <c r="AE46" s="23">
        <f>+VeredaTr127[[#This Row],[∑VeredaTr]]+VeredaTr127[[#This Row],[T2]]</f>
        <v>0.35902777777777767</v>
      </c>
    </row>
    <row r="47" spans="2:31" x14ac:dyDescent="0.35">
      <c r="B47" s="51">
        <v>15</v>
      </c>
      <c r="C47" s="23">
        <v>0.52152777777777803</v>
      </c>
      <c r="D47" s="23">
        <f t="shared" si="27"/>
        <v>9.0277777777778567E-3</v>
      </c>
      <c r="E47" s="23">
        <v>6.9444444444444441E-3</v>
      </c>
      <c r="F47" s="23">
        <f t="shared" si="33"/>
        <v>4.2361111111111106E-2</v>
      </c>
      <c r="G47" s="23">
        <f t="shared" si="34"/>
        <v>0.56388888888888911</v>
      </c>
      <c r="H47" s="23">
        <f t="shared" si="35"/>
        <v>-2.083333333333437E-3</v>
      </c>
      <c r="I47" s="23"/>
      <c r="J47" s="23">
        <f t="shared" si="36"/>
        <v>0.5194444444444446</v>
      </c>
      <c r="K47" s="30">
        <f>(G47-C47)+TrCeib116[[#This Row],[Tt_tex]]</f>
        <v>4.2361111111111072E-2</v>
      </c>
      <c r="L47" s="30">
        <f>SUMIF(B$4:$B47,TrCeib116[[#This Row],[BUS]],$K$4:K47)</f>
        <v>0.12708333333333333</v>
      </c>
      <c r="M47" s="23">
        <f>_xlfn.IFNA(VLOOKUP(TrCeib116[[#This Row],[BUS]],_xlfn._xlws.SORT(VeredaTr127[[BUS]:[T2]],11,-1,FALSE),11,FALSE),0)</f>
        <v>0.29444444444444434</v>
      </c>
      <c r="N47" s="23">
        <f>+TrCeib116[[#This Row],[∑TrCeib]]+TrCeib116[[#This Row],[T2]]</f>
        <v>0.42152777777777767</v>
      </c>
      <c r="O47" s="23"/>
      <c r="P47"/>
      <c r="Q47"/>
      <c r="S47" s="48">
        <v>2</v>
      </c>
      <c r="T47" s="23">
        <v>0.51875000000000016</v>
      </c>
      <c r="U47" s="23">
        <f t="shared" si="32"/>
        <v>6.2499999999999778E-3</v>
      </c>
      <c r="V47" s="23">
        <v>6.2499999999999995E-3</v>
      </c>
      <c r="W47" s="23">
        <f t="shared" si="37"/>
        <v>3.6805555555555557E-2</v>
      </c>
      <c r="X47" s="23">
        <f t="shared" si="38"/>
        <v>0.55555555555555569</v>
      </c>
      <c r="Y47" s="23">
        <f t="shared" si="19"/>
        <v>0</v>
      </c>
      <c r="Z47" s="23">
        <v>9.0277777777778567E-3</v>
      </c>
      <c r="AA47" s="23">
        <f t="shared" si="39"/>
        <v>0.51875000000000016</v>
      </c>
      <c r="AB47" s="30">
        <f t="shared" si="40"/>
        <v>3.6805555555555536E-2</v>
      </c>
      <c r="AC47" s="30">
        <f>SUMIF($S$4:S47,S47,$AB$4:AB47)</f>
        <v>0.14722222222222214</v>
      </c>
      <c r="AD47" s="23">
        <f>_xlfn.IFNA(VLOOKUP(VeredaTr127[[#This Row],[BUS]],_xlfn._xlws.SORT(TrCeib116[[BUS]:[T2]],11,-1,FALSE),11,FALSE),0)</f>
        <v>0.21180555555555555</v>
      </c>
      <c r="AE47" s="23">
        <f>+VeredaTr127[[#This Row],[∑VeredaTr]]+VeredaTr127[[#This Row],[T2]]</f>
        <v>0.35902777777777772</v>
      </c>
    </row>
    <row r="48" spans="2:31" x14ac:dyDescent="0.35">
      <c r="B48" s="49">
        <v>8</v>
      </c>
      <c r="C48" s="23">
        <v>0.53055555555555578</v>
      </c>
      <c r="D48" s="23">
        <f t="shared" si="27"/>
        <v>9.0277777777777457E-3</v>
      </c>
      <c r="E48" s="23">
        <v>6.9444444444444441E-3</v>
      </c>
      <c r="F48" s="23">
        <f t="shared" si="33"/>
        <v>4.2361111111111106E-2</v>
      </c>
      <c r="G48" s="23">
        <f t="shared" si="34"/>
        <v>0.57291666666666685</v>
      </c>
      <c r="H48" s="23">
        <f t="shared" si="35"/>
        <v>-2.0833333333333259E-3</v>
      </c>
      <c r="I48" s="23"/>
      <c r="J48" s="23">
        <f t="shared" si="36"/>
        <v>0.52847222222222245</v>
      </c>
      <c r="K48" s="30">
        <f>(G48-C48)+TrCeib116[[#This Row],[Tt_tex]]</f>
        <v>4.2361111111111072E-2</v>
      </c>
      <c r="L48" s="30">
        <f>SUMIF(B$4:$B48,TrCeib116[[#This Row],[BUS]],$K$4:K48)</f>
        <v>0.16944444444444445</v>
      </c>
      <c r="M48" s="23">
        <f>_xlfn.IFNA(VLOOKUP(TrCeib116[[#This Row],[BUS]],_xlfn._xlws.SORT(VeredaTr127[[BUS]:[T2]],11,-1,FALSE),11,FALSE),0)</f>
        <v>0.33124999999999982</v>
      </c>
      <c r="N48" s="23">
        <f>+TrCeib116[[#This Row],[∑TrCeib]]+TrCeib116[[#This Row],[T2]]</f>
        <v>0.50069444444444433</v>
      </c>
      <c r="O48" s="23"/>
      <c r="P48"/>
      <c r="Q48"/>
      <c r="S48" s="50">
        <v>12</v>
      </c>
      <c r="T48" s="23">
        <v>0.52500000000000013</v>
      </c>
      <c r="U48" s="23">
        <f t="shared" si="32"/>
        <v>6.2499999999999778E-3</v>
      </c>
      <c r="V48" s="23">
        <v>6.2499999999999995E-3</v>
      </c>
      <c r="W48" s="23">
        <f t="shared" si="37"/>
        <v>3.6805555555555557E-2</v>
      </c>
      <c r="X48" s="23">
        <f t="shared" si="38"/>
        <v>0.56180555555555567</v>
      </c>
      <c r="Y48" s="23">
        <f t="shared" si="19"/>
        <v>0</v>
      </c>
      <c r="Z48" s="23">
        <v>6.2500000000000888E-3</v>
      </c>
      <c r="AA48" s="23">
        <f t="shared" si="39"/>
        <v>0.52500000000000013</v>
      </c>
      <c r="AB48" s="30">
        <f t="shared" si="40"/>
        <v>3.6805555555555536E-2</v>
      </c>
      <c r="AC48" s="30">
        <f>SUMIF($S$4:S48,S48,$AB$4:AB48)</f>
        <v>0.11041666666666661</v>
      </c>
      <c r="AD48" s="23">
        <f>_xlfn.IFNA(VLOOKUP(VeredaTr127[[#This Row],[BUS]],_xlfn._xlws.SORT(TrCeib116[[BUS]:[T2]],11,-1,FALSE),11,FALSE),0)</f>
        <v>0.21180555555555547</v>
      </c>
      <c r="AE48" s="23">
        <f>+VeredaTr127[[#This Row],[∑VeredaTr]]+VeredaTr127[[#This Row],[T2]]</f>
        <v>0.32222222222222208</v>
      </c>
    </row>
    <row r="49" spans="1:31" x14ac:dyDescent="0.35">
      <c r="B49" s="51">
        <v>16</v>
      </c>
      <c r="C49" s="23">
        <v>0.53680555555555576</v>
      </c>
      <c r="D49" s="23">
        <f t="shared" si="27"/>
        <v>6.2499999999999778E-3</v>
      </c>
      <c r="E49" s="23">
        <v>6.9444444444444441E-3</v>
      </c>
      <c r="F49" s="23">
        <f t="shared" si="33"/>
        <v>4.2361111111111106E-2</v>
      </c>
      <c r="G49" s="23">
        <f t="shared" si="34"/>
        <v>0.57916666666666683</v>
      </c>
      <c r="H49" s="23">
        <f t="shared" si="35"/>
        <v>6.9444444444444198E-4</v>
      </c>
      <c r="I49" s="23"/>
      <c r="J49" s="23">
        <f t="shared" si="36"/>
        <v>0.5375000000000002</v>
      </c>
      <c r="K49" s="30">
        <f>(G49-C49)+TrCeib116[[#This Row],[Tt_tex]]</f>
        <v>4.2361111111111072E-2</v>
      </c>
      <c r="L49" s="30">
        <f>SUMIF(B$4:$B49,TrCeib116[[#This Row],[BUS]],$K$4:K49)</f>
        <v>0.125</v>
      </c>
      <c r="M49" s="23">
        <f>_xlfn.IFNA(VLOOKUP(TrCeib116[[#This Row],[BUS]],_xlfn._xlws.SORT(VeredaTr127[[BUS]:[T2]],11,-1,FALSE),11,FALSE),0)</f>
        <v>0.29444444444444429</v>
      </c>
      <c r="N49" s="23">
        <f>+TrCeib116[[#This Row],[∑TrCeib]]+TrCeib116[[#This Row],[T2]]</f>
        <v>0.41944444444444429</v>
      </c>
      <c r="O49" s="23"/>
      <c r="P49"/>
      <c r="Q49"/>
      <c r="S49" s="50">
        <v>13</v>
      </c>
      <c r="T49" s="23">
        <v>0.53125000000000011</v>
      </c>
      <c r="U49" s="23">
        <f t="shared" si="32"/>
        <v>6.2499999999999778E-3</v>
      </c>
      <c r="V49" s="23">
        <v>6.2499999999999995E-3</v>
      </c>
      <c r="W49" s="23">
        <f t="shared" si="37"/>
        <v>3.6805555555555557E-2</v>
      </c>
      <c r="X49" s="23">
        <f t="shared" si="38"/>
        <v>0.56805555555555565</v>
      </c>
      <c r="Y49" s="23">
        <f t="shared" si="19"/>
        <v>0</v>
      </c>
      <c r="Z49" s="23">
        <v>3.4722222222222099E-3</v>
      </c>
      <c r="AA49" s="23">
        <f t="shared" si="39"/>
        <v>0.53125000000000011</v>
      </c>
      <c r="AB49" s="30">
        <f t="shared" si="40"/>
        <v>3.6805555555555536E-2</v>
      </c>
      <c r="AC49" s="30">
        <f>SUMIF($S$4:S101,S49,$AB$4:AB101)</f>
        <v>0.14722222222222214</v>
      </c>
      <c r="AD49" s="23">
        <f>_xlfn.IFNA(VLOOKUP(VeredaTr127[[#This Row],[BUS]],_xlfn._xlws.SORT(TrCeib116[[BUS]:[T2]],11,-1,FALSE),11,FALSE),0)</f>
        <v>0.21180555555555552</v>
      </c>
      <c r="AE49" s="23">
        <f>+VeredaTr127[[#This Row],[∑VeredaTr]]+VeredaTr127[[#This Row],[T2]]</f>
        <v>0.35902777777777767</v>
      </c>
    </row>
    <row r="50" spans="1:31" x14ac:dyDescent="0.35">
      <c r="B50" s="49">
        <v>10</v>
      </c>
      <c r="C50" s="23">
        <v>0.54305555555555574</v>
      </c>
      <c r="D50" s="23">
        <f t="shared" si="27"/>
        <v>6.2499999999999778E-3</v>
      </c>
      <c r="E50" s="23">
        <v>6.9444444444444441E-3</v>
      </c>
      <c r="F50" s="23">
        <f t="shared" si="33"/>
        <v>4.2361111111111106E-2</v>
      </c>
      <c r="G50" s="23">
        <f t="shared" si="34"/>
        <v>0.58541666666666681</v>
      </c>
      <c r="H50" s="23">
        <f t="shared" si="35"/>
        <v>6.9444444444444198E-4</v>
      </c>
      <c r="I50" s="23"/>
      <c r="J50" s="23">
        <f t="shared" si="36"/>
        <v>0.54375000000000018</v>
      </c>
      <c r="K50" s="30">
        <f>(G50-C50)+TrCeib116[[#This Row],[Tt_tex]]</f>
        <v>4.2361111111111072E-2</v>
      </c>
      <c r="L50" s="30">
        <f>SUMIF(B$4:$B50,TrCeib116[[#This Row],[BUS]],$K$4:K50)</f>
        <v>0.16944444444444445</v>
      </c>
      <c r="M50" s="23">
        <f>_xlfn.IFNA(VLOOKUP(TrCeib116[[#This Row],[BUS]],_xlfn._xlws.SORT(VeredaTr127[[BUS]:[T2]],11,-1,FALSE),11,FALSE),0)</f>
        <v>0.18402777777777768</v>
      </c>
      <c r="N50" s="23">
        <f>+TrCeib116[[#This Row],[∑TrCeib]]+TrCeib116[[#This Row],[T2]]</f>
        <v>0.35347222222222213</v>
      </c>
      <c r="O50" s="23"/>
      <c r="P50"/>
      <c r="Q50"/>
      <c r="S50" s="49">
        <v>6</v>
      </c>
      <c r="T50" s="23">
        <v>0.53750000000000009</v>
      </c>
      <c r="U50" s="23">
        <f t="shared" ref="U50" si="41">T50-T49</f>
        <v>6.2499999999999778E-3</v>
      </c>
      <c r="V50" s="23">
        <v>6.2499999999999995E-3</v>
      </c>
      <c r="W50" s="23">
        <f t="shared" si="37"/>
        <v>3.6805555555555557E-2</v>
      </c>
      <c r="X50" s="23">
        <f t="shared" ref="X50:X60" si="42">+T50+W50</f>
        <v>0.57430555555555562</v>
      </c>
      <c r="Y50" s="23">
        <f t="shared" ref="Y50:Y60" si="43">+(T49+V50)-T50</f>
        <v>0</v>
      </c>
      <c r="Z50" s="23">
        <v>6.9444444444444198E-4</v>
      </c>
      <c r="AA50" s="23">
        <f t="shared" ref="AA50:AA60" si="44">+T50+Y50</f>
        <v>0.53750000000000009</v>
      </c>
      <c r="AB50" s="30">
        <f t="shared" ref="AB50:AB60" si="45">(X50-T50)</f>
        <v>3.6805555555555536E-2</v>
      </c>
      <c r="AC50" s="30">
        <f>SUMIF($S$4:S50,S50,$AB$4:AB50)</f>
        <v>0.18402777777777768</v>
      </c>
      <c r="AD50" s="23">
        <f>_xlfn.IFNA(VLOOKUP(VeredaTr127[[#This Row],[BUS]],_xlfn._xlws.SORT(TrCeib116[[BUS]:[T2]],11,-1,FALSE),11,FALSE),0)</f>
        <v>0.33749999999999986</v>
      </c>
      <c r="AE50" s="23">
        <f>+VeredaTr127[[#This Row],[∑VeredaTr]]+VeredaTr127[[#This Row],[T2]]</f>
        <v>0.52152777777777759</v>
      </c>
    </row>
    <row r="51" spans="1:31" x14ac:dyDescent="0.35">
      <c r="A51" t="s">
        <v>70</v>
      </c>
      <c r="B51" s="48">
        <v>1</v>
      </c>
      <c r="C51" s="23">
        <v>0.54930555555555571</v>
      </c>
      <c r="D51" s="23">
        <f t="shared" si="27"/>
        <v>6.2499999999999778E-3</v>
      </c>
      <c r="E51" s="23">
        <v>6.9444444444444441E-3</v>
      </c>
      <c r="F51" s="23">
        <f t="shared" si="33"/>
        <v>4.2361111111111106E-2</v>
      </c>
      <c r="G51" s="23">
        <f t="shared" si="34"/>
        <v>0.59166666666666679</v>
      </c>
      <c r="H51" s="23">
        <f t="shared" si="35"/>
        <v>6.9444444444444198E-4</v>
      </c>
      <c r="I51" s="23"/>
      <c r="J51" s="23">
        <f t="shared" si="36"/>
        <v>0.55000000000000016</v>
      </c>
      <c r="K51" s="30">
        <f>(G51-C51)+TrCeib116[[#This Row],[Tt_tex]]</f>
        <v>4.2361111111111072E-2</v>
      </c>
      <c r="L51" s="30">
        <f>SUMIF(B$4:$B51,TrCeib116[[#This Row],[BUS]],$K$4:K51)</f>
        <v>0.21180555555555552</v>
      </c>
      <c r="M51" s="23">
        <f>_xlfn.IFNA(VLOOKUP(TrCeib116[[#This Row],[BUS]],_xlfn._xlws.SORT(VeredaTr127[[BUS]:[T2]],11,-1,FALSE),11,FALSE),0)</f>
        <v>0.14722222222222214</v>
      </c>
      <c r="N51" s="23">
        <f>+TrCeib116[[#This Row],[∑TrCeib]]+TrCeib116[[#This Row],[T2]]</f>
        <v>0.35902777777777767</v>
      </c>
      <c r="O51" s="23"/>
      <c r="P51" s="40"/>
      <c r="Q51"/>
      <c r="S51" s="51">
        <v>14</v>
      </c>
      <c r="T51" s="23">
        <v>0.5458333333333335</v>
      </c>
      <c r="U51" s="23">
        <f t="shared" ref="U51:U60" si="46">T51-T50</f>
        <v>8.3333333333334147E-3</v>
      </c>
      <c r="V51" s="23">
        <v>6.2499999999999995E-3</v>
      </c>
      <c r="W51" s="23">
        <f t="shared" si="37"/>
        <v>3.6805555555555557E-2</v>
      </c>
      <c r="X51" s="23">
        <f t="shared" si="42"/>
        <v>0.58263888888888904</v>
      </c>
      <c r="Y51" s="23">
        <f t="shared" si="43"/>
        <v>-2.083333333333437E-3</v>
      </c>
      <c r="Z51" s="23"/>
      <c r="AA51" s="23">
        <f t="shared" si="44"/>
        <v>0.54375000000000007</v>
      </c>
      <c r="AB51" s="30">
        <f t="shared" si="45"/>
        <v>3.6805555555555536E-2</v>
      </c>
      <c r="AC51" s="30">
        <f>SUMIF($S$4:S51,S51,$AB$4:AB51)</f>
        <v>0.1472222222222222</v>
      </c>
      <c r="AD51" s="23">
        <f>_xlfn.IFNA(VLOOKUP(VeredaTr127[[#This Row],[BUS]],_xlfn._xlws.SORT(TrCeib116[[BUS]:[T2]],11,-1,FALSE),11,FALSE),0)</f>
        <v>0.29652777777777761</v>
      </c>
      <c r="AE51" s="23">
        <f>+VeredaTr127[[#This Row],[∑VeredaTr]]+VeredaTr127[[#This Row],[T2]]</f>
        <v>0.44374999999999981</v>
      </c>
    </row>
    <row r="52" spans="1:31" x14ac:dyDescent="0.35">
      <c r="A52" t="s">
        <v>70</v>
      </c>
      <c r="B52" s="48">
        <v>2</v>
      </c>
      <c r="C52" s="23">
        <v>0.55555555555555569</v>
      </c>
      <c r="D52" s="23">
        <f t="shared" si="27"/>
        <v>6.2499999999999778E-3</v>
      </c>
      <c r="E52" s="23">
        <v>6.9444444444444441E-3</v>
      </c>
      <c r="F52" s="23">
        <f t="shared" si="33"/>
        <v>4.2361111111111106E-2</v>
      </c>
      <c r="G52" s="23">
        <f t="shared" si="34"/>
        <v>0.59791666666666676</v>
      </c>
      <c r="H52" s="23">
        <f t="shared" si="35"/>
        <v>6.9444444444444198E-4</v>
      </c>
      <c r="I52" s="23"/>
      <c r="J52" s="23">
        <f t="shared" si="36"/>
        <v>0.55625000000000013</v>
      </c>
      <c r="K52" s="30">
        <f>(G52-C52)+TrCeib116[[#This Row],[Tt_tex]]</f>
        <v>4.2361111111111072E-2</v>
      </c>
      <c r="L52" s="30">
        <f>SUMIF(B$4:$B52,TrCeib116[[#This Row],[BUS]],$K$4:K52)</f>
        <v>0.21180555555555555</v>
      </c>
      <c r="M52" s="23">
        <f>_xlfn.IFNA(VLOOKUP(TrCeib116[[#This Row],[BUS]],_xlfn._xlws.SORT(VeredaTr127[[BUS]:[T2]],11,-1,FALSE),11,FALSE),0)</f>
        <v>0.14722222222222214</v>
      </c>
      <c r="N52" s="23">
        <f>+TrCeib116[[#This Row],[∑TrCeib]]+TrCeib116[[#This Row],[T2]]</f>
        <v>0.35902777777777772</v>
      </c>
      <c r="O52" s="23"/>
      <c r="P52"/>
      <c r="Q52"/>
      <c r="R52" t="s">
        <v>70</v>
      </c>
      <c r="S52" s="49">
        <v>7</v>
      </c>
      <c r="T52" s="23">
        <v>0.55486111111111125</v>
      </c>
      <c r="U52" s="23">
        <f t="shared" si="46"/>
        <v>9.0277777777777457E-3</v>
      </c>
      <c r="V52" s="23">
        <v>6.2499999999999995E-3</v>
      </c>
      <c r="W52" s="23">
        <f t="shared" si="37"/>
        <v>3.6805555555555557E-2</v>
      </c>
      <c r="X52" s="23">
        <f t="shared" si="42"/>
        <v>0.59166666666666679</v>
      </c>
      <c r="Y52" s="23">
        <f t="shared" si="43"/>
        <v>-2.7777777777777679E-3</v>
      </c>
      <c r="Z52" s="23"/>
      <c r="AA52" s="23">
        <f t="shared" si="44"/>
        <v>0.55208333333333348</v>
      </c>
      <c r="AB52" s="30">
        <f t="shared" si="45"/>
        <v>3.6805555555555536E-2</v>
      </c>
      <c r="AC52" s="30">
        <f>SUMIF($S$4:S52,S52,$AB$4:AB52)</f>
        <v>0.18402777777777771</v>
      </c>
      <c r="AD52" s="23">
        <f>_xlfn.IFNA(VLOOKUP(VeredaTr127[[#This Row],[BUS]],_xlfn._xlws.SORT(TrCeib116[[BUS]:[T2]],11,-1,FALSE),11,FALSE),0)</f>
        <v>0.16944444444444445</v>
      </c>
      <c r="AE52" s="23">
        <f>+VeredaTr127[[#This Row],[∑VeredaTr]]+VeredaTr127[[#This Row],[T2]]</f>
        <v>0.35347222222222219</v>
      </c>
    </row>
    <row r="53" spans="1:31" x14ac:dyDescent="0.35">
      <c r="B53" s="50">
        <v>12</v>
      </c>
      <c r="C53" s="23">
        <v>0.56180555555555567</v>
      </c>
      <c r="D53" s="23">
        <f t="shared" si="27"/>
        <v>6.2499999999999778E-3</v>
      </c>
      <c r="E53" s="23">
        <v>6.9444444444444441E-3</v>
      </c>
      <c r="F53" s="23">
        <f t="shared" si="33"/>
        <v>4.2361111111111106E-2</v>
      </c>
      <c r="G53" s="23">
        <f t="shared" si="34"/>
        <v>0.60416666666666674</v>
      </c>
      <c r="H53" s="23">
        <f t="shared" si="35"/>
        <v>6.9444444444444198E-4</v>
      </c>
      <c r="I53" s="23"/>
      <c r="J53" s="23">
        <f t="shared" si="36"/>
        <v>0.56250000000000011</v>
      </c>
      <c r="K53" s="30">
        <f>(G53-C53)+TrCeib116[[#This Row],[Tt_tex]]</f>
        <v>4.2361111111111072E-2</v>
      </c>
      <c r="L53" s="30">
        <f>SUMIF(B$4:$B53,TrCeib116[[#This Row],[BUS]],$K$4:K53)</f>
        <v>0.1694444444444444</v>
      </c>
      <c r="M53" s="23">
        <f>_xlfn.IFNA(VLOOKUP(TrCeib116[[#This Row],[BUS]],_xlfn._xlws.SORT(VeredaTr127[[BUS]:[T2]],11,-1,FALSE),11,FALSE),0)</f>
        <v>0.14722222222222214</v>
      </c>
      <c r="N53" s="23">
        <f>+TrCeib116[[#This Row],[∑TrCeib]]+TrCeib116[[#This Row],[T2]]</f>
        <v>0.31666666666666654</v>
      </c>
      <c r="O53" s="23"/>
      <c r="P53"/>
      <c r="Q53"/>
      <c r="S53" s="51">
        <v>15</v>
      </c>
      <c r="T53" s="23">
        <v>0.56388888888888911</v>
      </c>
      <c r="U53" s="23">
        <f t="shared" si="46"/>
        <v>9.0277777777778567E-3</v>
      </c>
      <c r="V53" s="23">
        <v>6.2499999999999995E-3</v>
      </c>
      <c r="W53" s="23">
        <f t="shared" si="37"/>
        <v>3.6805555555555557E-2</v>
      </c>
      <c r="X53" s="23">
        <f t="shared" si="42"/>
        <v>0.60069444444444464</v>
      </c>
      <c r="Y53" s="23">
        <f t="shared" si="43"/>
        <v>-2.7777777777778789E-3</v>
      </c>
      <c r="Z53" s="23"/>
      <c r="AA53" s="23">
        <f t="shared" si="44"/>
        <v>0.56111111111111123</v>
      </c>
      <c r="AB53" s="30">
        <f t="shared" si="45"/>
        <v>3.6805555555555536E-2</v>
      </c>
      <c r="AC53" s="30">
        <f>SUMIF($S$4:S53,S53,$AB$4:AB53)</f>
        <v>0.1472222222222222</v>
      </c>
      <c r="AD53" s="23">
        <f>_xlfn.IFNA(VLOOKUP(VeredaTr127[[#This Row],[BUS]],_xlfn._xlws.SORT(TrCeib116[[BUS]:[T2]],11,-1,FALSE),11,FALSE),0)</f>
        <v>0.29652777777777761</v>
      </c>
      <c r="AE53" s="23">
        <f>+VeredaTr127[[#This Row],[∑VeredaTr]]+VeredaTr127[[#This Row],[T2]]</f>
        <v>0.44374999999999981</v>
      </c>
    </row>
    <row r="54" spans="1:31" x14ac:dyDescent="0.35">
      <c r="B54" s="50">
        <v>13</v>
      </c>
      <c r="C54" s="23">
        <v>0.56805555555555565</v>
      </c>
      <c r="D54" s="23">
        <f t="shared" si="27"/>
        <v>6.2499999999999778E-3</v>
      </c>
      <c r="E54" s="23">
        <v>6.9444444444444441E-3</v>
      </c>
      <c r="F54" s="23">
        <f t="shared" si="33"/>
        <v>4.2361111111111106E-2</v>
      </c>
      <c r="G54" s="23">
        <f t="shared" si="34"/>
        <v>0.61041666666666672</v>
      </c>
      <c r="H54" s="23">
        <f t="shared" si="35"/>
        <v>6.9444444444444198E-4</v>
      </c>
      <c r="I54" s="23"/>
      <c r="J54" s="23">
        <f t="shared" si="36"/>
        <v>0.56875000000000009</v>
      </c>
      <c r="K54" s="30">
        <f>(G54-C54)+TrCeib116[[#This Row],[Tt_tex]]</f>
        <v>4.2361111111111072E-2</v>
      </c>
      <c r="L54" s="30">
        <f>SUMIF(B$4:$B98,TrCeib116[[#This Row],[BUS]],$K$4:K98)</f>
        <v>0.21180555555555552</v>
      </c>
      <c r="M54" s="23">
        <f>_xlfn.IFNA(VLOOKUP(TrCeib116[[#This Row],[BUS]],_xlfn._xlws.SORT(VeredaTr127[[BUS]:[T2]],11,-1,FALSE),11,FALSE),0)</f>
        <v>0.14722222222222214</v>
      </c>
      <c r="N54" s="23">
        <f>+TrCeib116[[#This Row],[∑TrCeib]]+TrCeib116[[#This Row],[T2]]</f>
        <v>0.35902777777777767</v>
      </c>
      <c r="O54" s="23"/>
      <c r="P54"/>
      <c r="Q54"/>
      <c r="S54" s="49">
        <v>8</v>
      </c>
      <c r="T54" s="23">
        <v>0.57291666666666685</v>
      </c>
      <c r="U54" s="23">
        <f t="shared" si="46"/>
        <v>9.0277777777777457E-3</v>
      </c>
      <c r="V54" s="23">
        <v>6.2499999999999995E-3</v>
      </c>
      <c r="W54" s="23">
        <f t="shared" si="37"/>
        <v>3.6805555555555557E-2</v>
      </c>
      <c r="X54" s="23">
        <f t="shared" si="42"/>
        <v>0.60972222222222239</v>
      </c>
      <c r="Y54" s="23">
        <f t="shared" si="43"/>
        <v>-2.7777777777777679E-3</v>
      </c>
      <c r="Z54" s="23"/>
      <c r="AA54" s="23">
        <f t="shared" si="44"/>
        <v>0.57013888888888908</v>
      </c>
      <c r="AB54" s="30">
        <f t="shared" si="45"/>
        <v>3.6805555555555536E-2</v>
      </c>
      <c r="AC54" s="30">
        <f>SUMIF($S$4:S54,S54,$AB$4:AB54)</f>
        <v>0.18402777777777771</v>
      </c>
      <c r="AD54" s="23">
        <f>_xlfn.IFNA(VLOOKUP(VeredaTr127[[#This Row],[BUS]],_xlfn._xlws.SORT(TrCeib116[[BUS]:[T2]],11,-1,FALSE),11,FALSE),0)</f>
        <v>0.33888888888888874</v>
      </c>
      <c r="AE54" s="23">
        <f>+VeredaTr127[[#This Row],[∑VeredaTr]]+VeredaTr127[[#This Row],[T2]]</f>
        <v>0.52291666666666647</v>
      </c>
    </row>
    <row r="55" spans="1:31" x14ac:dyDescent="0.35">
      <c r="A55" t="s">
        <v>94</v>
      </c>
      <c r="B55" s="49">
        <v>6</v>
      </c>
      <c r="C55" s="23">
        <v>0.57430555555555562</v>
      </c>
      <c r="D55" s="23">
        <f t="shared" si="27"/>
        <v>6.2499999999999778E-3</v>
      </c>
      <c r="E55" s="23">
        <v>6.9444444444444441E-3</v>
      </c>
      <c r="F55" s="23">
        <f t="shared" si="33"/>
        <v>4.2361111111111106E-2</v>
      </c>
      <c r="G55" s="23">
        <f t="shared" ref="G55:G65" si="47">C55+F55</f>
        <v>0.6166666666666667</v>
      </c>
      <c r="H55" s="23">
        <f t="shared" ref="H55:H65" si="48">+(C54+E55)-C55</f>
        <v>6.9444444444444198E-4</v>
      </c>
      <c r="I55" s="23"/>
      <c r="J55" s="23">
        <f t="shared" ref="J55:J65" si="49">+C55+H55</f>
        <v>0.57500000000000007</v>
      </c>
      <c r="K55" s="30">
        <f>(G55-C55)+TrCeib116[[#This Row],[Tt_tex]]</f>
        <v>4.2361111111111072E-2</v>
      </c>
      <c r="L55" s="30">
        <f>SUMIF(B$4:$B55,TrCeib116[[#This Row],[BUS]],$K$4:K55)</f>
        <v>0.21041666666666664</v>
      </c>
      <c r="M55" s="23">
        <f>_xlfn.IFNA(VLOOKUP(TrCeib116[[#This Row],[BUS]],_xlfn._xlws.SORT(VeredaTr127[[BUS]:[T2]],11,-1,FALSE),11,FALSE),0)</f>
        <v>0.29444444444444429</v>
      </c>
      <c r="N55" s="23">
        <f>+TrCeib116[[#This Row],[∑TrCeib]]+TrCeib116[[#This Row],[T2]]</f>
        <v>0.50486111111111098</v>
      </c>
      <c r="O55" s="23"/>
      <c r="P55"/>
      <c r="Q55"/>
      <c r="S55" s="51">
        <v>16</v>
      </c>
      <c r="T55" s="23">
        <v>0.57916666666666683</v>
      </c>
      <c r="U55" s="23">
        <f t="shared" si="46"/>
        <v>6.2499999999999778E-3</v>
      </c>
      <c r="V55" s="23">
        <v>6.2499999999999995E-3</v>
      </c>
      <c r="W55" s="23">
        <f t="shared" si="37"/>
        <v>3.6805555555555557E-2</v>
      </c>
      <c r="X55" s="23">
        <f t="shared" si="42"/>
        <v>0.61597222222222237</v>
      </c>
      <c r="Y55" s="23">
        <f t="shared" si="43"/>
        <v>0</v>
      </c>
      <c r="Z55" s="23"/>
      <c r="AA55" s="23">
        <f t="shared" si="44"/>
        <v>0.57916666666666683</v>
      </c>
      <c r="AB55" s="30">
        <f t="shared" si="45"/>
        <v>3.6805555555555536E-2</v>
      </c>
      <c r="AC55" s="30">
        <f>SUMIF($S$4:S55,S55,$AB$4:AB55)</f>
        <v>0.14722222222222214</v>
      </c>
      <c r="AD55" s="23">
        <f>_xlfn.IFNA(VLOOKUP(VeredaTr127[[#This Row],[BUS]],_xlfn._xlws.SORT(TrCeib116[[BUS]:[T2]],11,-1,FALSE),11,FALSE),0)</f>
        <v>0.29444444444444429</v>
      </c>
      <c r="AE55" s="23">
        <f>+VeredaTr127[[#This Row],[∑VeredaTr]]+VeredaTr127[[#This Row],[T2]]</f>
        <v>0.44166666666666643</v>
      </c>
    </row>
    <row r="56" spans="1:31" x14ac:dyDescent="0.35">
      <c r="B56" s="51">
        <v>14</v>
      </c>
      <c r="C56" s="23">
        <v>0.58263888888888904</v>
      </c>
      <c r="D56" s="23">
        <f t="shared" si="27"/>
        <v>8.3333333333334147E-3</v>
      </c>
      <c r="E56" s="23">
        <v>6.9444444444444441E-3</v>
      </c>
      <c r="F56" s="23">
        <f t="shared" si="33"/>
        <v>4.2361111111111106E-2</v>
      </c>
      <c r="G56" s="23">
        <f t="shared" si="47"/>
        <v>0.62500000000000011</v>
      </c>
      <c r="H56" s="23">
        <f t="shared" si="48"/>
        <v>-1.388888888888995E-3</v>
      </c>
      <c r="I56" s="23"/>
      <c r="J56" s="23">
        <f t="shared" si="49"/>
        <v>0.58125000000000004</v>
      </c>
      <c r="K56" s="30">
        <f>(G56-C56)+TrCeib116[[#This Row],[Tt_tex]]</f>
        <v>4.2361111111111072E-2</v>
      </c>
      <c r="L56" s="30">
        <f>SUMIF(B$4:$B56,TrCeib116[[#This Row],[BUS]],$K$4:K56)</f>
        <v>0.1694444444444444</v>
      </c>
      <c r="M56" s="23">
        <f>_xlfn.IFNA(VLOOKUP(TrCeib116[[#This Row],[BUS]],_xlfn._xlws.SORT(VeredaTr127[[BUS]:[T2]],11,-1,FALSE),11,FALSE),0)</f>
        <v>0.29444444444444434</v>
      </c>
      <c r="N56" s="23">
        <f>+TrCeib116[[#This Row],[∑TrCeib]]+TrCeib116[[#This Row],[T2]]</f>
        <v>0.46388888888888874</v>
      </c>
      <c r="O56" s="23"/>
      <c r="P56"/>
      <c r="Q56"/>
      <c r="R56" t="s">
        <v>70</v>
      </c>
      <c r="S56" s="49">
        <v>10</v>
      </c>
      <c r="T56" s="23">
        <v>0.58541666666666681</v>
      </c>
      <c r="U56" s="23">
        <f t="shared" si="46"/>
        <v>6.2499999999999778E-3</v>
      </c>
      <c r="V56" s="23">
        <v>6.2499999999999995E-3</v>
      </c>
      <c r="W56" s="23">
        <f t="shared" si="37"/>
        <v>3.6805555555555557E-2</v>
      </c>
      <c r="X56" s="23">
        <f t="shared" si="42"/>
        <v>0.62222222222222234</v>
      </c>
      <c r="Y56" s="23">
        <f t="shared" si="43"/>
        <v>0</v>
      </c>
      <c r="Z56" s="23"/>
      <c r="AA56" s="23">
        <f t="shared" si="44"/>
        <v>0.58541666666666681</v>
      </c>
      <c r="AB56" s="30">
        <f t="shared" si="45"/>
        <v>3.6805555555555536E-2</v>
      </c>
      <c r="AC56" s="30">
        <f>SUMIF($S$4:S56,S56,$AB$4:AB56)</f>
        <v>0.18402777777777768</v>
      </c>
      <c r="AD56" s="23">
        <f>_xlfn.IFNA(VLOOKUP(VeredaTr127[[#This Row],[BUS]],_xlfn._xlws.SORT(TrCeib116[[BUS]:[T2]],11,-1,FALSE),11,FALSE),0)</f>
        <v>0.16944444444444445</v>
      </c>
      <c r="AE56" s="23">
        <f>+VeredaTr127[[#This Row],[∑VeredaTr]]+VeredaTr127[[#This Row],[T2]]</f>
        <v>0.35347222222222213</v>
      </c>
    </row>
    <row r="57" spans="1:31" x14ac:dyDescent="0.35">
      <c r="A57" t="s">
        <v>63</v>
      </c>
      <c r="B57" s="53">
        <v>19</v>
      </c>
      <c r="C57" s="23">
        <v>0.59166666666666679</v>
      </c>
      <c r="D57" s="23">
        <f t="shared" si="27"/>
        <v>9.0277777777777457E-3</v>
      </c>
      <c r="E57" s="23">
        <v>6.9444444444444441E-3</v>
      </c>
      <c r="F57" s="23">
        <f t="shared" si="33"/>
        <v>4.2361111111111106E-2</v>
      </c>
      <c r="G57" s="23">
        <f t="shared" si="47"/>
        <v>0.63402777777777786</v>
      </c>
      <c r="H57" s="23">
        <f t="shared" si="48"/>
        <v>-2.0833333333333259E-3</v>
      </c>
      <c r="I57" s="23"/>
      <c r="J57" s="23">
        <f t="shared" si="49"/>
        <v>0.58958333333333346</v>
      </c>
      <c r="K57" s="30">
        <f>(G57-C57)+TrCeib116[[#This Row],[Tt_tex]]</f>
        <v>4.2361111111111072E-2</v>
      </c>
      <c r="L57" s="30">
        <f>SUMIF(B$4:$B57,TrCeib116[[#This Row],[BUS]],$K$4:K57)</f>
        <v>4.2361111111111072E-2</v>
      </c>
      <c r="M57" s="23">
        <f>_xlfn.IFNA(VLOOKUP(TrCeib116[[#This Row],[BUS]],_xlfn._xlws.SORT(VeredaTr127[[BUS]:[T2]],11,-1,FALSE),11,FALSE),0)</f>
        <v>0.14722222222222214</v>
      </c>
      <c r="N57" s="23">
        <f>+TrCeib116[[#This Row],[∑TrCeib]]+TrCeib116[[#This Row],[T2]]</f>
        <v>0.18958333333333321</v>
      </c>
      <c r="O57" s="23"/>
      <c r="P57"/>
      <c r="Q57"/>
      <c r="R57" t="s">
        <v>63</v>
      </c>
      <c r="S57" s="52">
        <v>17</v>
      </c>
      <c r="T57" s="23">
        <v>0.59166666666666679</v>
      </c>
      <c r="U57" s="23">
        <f t="shared" si="46"/>
        <v>6.2499999999999778E-3</v>
      </c>
      <c r="V57" s="23">
        <v>6.2499999999999995E-3</v>
      </c>
      <c r="W57" s="23">
        <f t="shared" si="37"/>
        <v>3.6805555555555557E-2</v>
      </c>
      <c r="X57" s="23">
        <f t="shared" si="42"/>
        <v>0.62847222222222232</v>
      </c>
      <c r="Y57" s="23">
        <f t="shared" si="43"/>
        <v>0</v>
      </c>
      <c r="Z57" s="23"/>
      <c r="AA57" s="23">
        <f t="shared" si="44"/>
        <v>0.59166666666666679</v>
      </c>
      <c r="AB57" s="30">
        <f t="shared" si="45"/>
        <v>3.6805555555555536E-2</v>
      </c>
      <c r="AC57" s="30">
        <f>SUMIF($S$4:S57,S57,$AB$4:AB57)</f>
        <v>3.6805555555555536E-2</v>
      </c>
      <c r="AD57" s="23">
        <f>_xlfn.IFNA(VLOOKUP(VeredaTr127[[#This Row],[BUS]],_xlfn._xlws.SORT(TrCeib116[[BUS]:[T2]],11,-1,FALSE),11,FALSE),0)</f>
        <v>0.16944444444444429</v>
      </c>
      <c r="AE57" s="23">
        <f>+VeredaTr127[[#This Row],[∑VeredaTr]]+VeredaTr127[[#This Row],[T2]]</f>
        <v>0.20624999999999982</v>
      </c>
    </row>
    <row r="58" spans="1:31" x14ac:dyDescent="0.35">
      <c r="B58" s="51">
        <v>15</v>
      </c>
      <c r="C58" s="23">
        <v>0.60069444444444464</v>
      </c>
      <c r="D58" s="23">
        <f t="shared" si="27"/>
        <v>9.0277777777778567E-3</v>
      </c>
      <c r="E58" s="23">
        <v>6.9444444444444441E-3</v>
      </c>
      <c r="F58" s="23">
        <f t="shared" si="33"/>
        <v>4.2361111111111106E-2</v>
      </c>
      <c r="G58" s="23">
        <f t="shared" si="47"/>
        <v>0.64305555555555571</v>
      </c>
      <c r="H58" s="23">
        <f t="shared" si="48"/>
        <v>-2.083333333333437E-3</v>
      </c>
      <c r="I58" s="23"/>
      <c r="J58" s="23">
        <f t="shared" si="49"/>
        <v>0.5986111111111112</v>
      </c>
      <c r="K58" s="30">
        <f>(G58-C58)+TrCeib116[[#This Row],[Tt_tex]]</f>
        <v>4.2361111111111072E-2</v>
      </c>
      <c r="L58" s="30">
        <f>SUMIF(B$4:$B58,TrCeib116[[#This Row],[BUS]],$K$4:K58)</f>
        <v>0.1694444444444444</v>
      </c>
      <c r="M58" s="23">
        <f>_xlfn.IFNA(VLOOKUP(TrCeib116[[#This Row],[BUS]],_xlfn._xlws.SORT(VeredaTr127[[BUS]:[T2]],11,-1,FALSE),11,FALSE),0)</f>
        <v>0.29444444444444434</v>
      </c>
      <c r="N58" s="23">
        <f>+TrCeib116[[#This Row],[∑TrCeib]]+TrCeib116[[#This Row],[T2]]</f>
        <v>0.46388888888888874</v>
      </c>
      <c r="O58" s="23"/>
      <c r="P58"/>
      <c r="Q58"/>
      <c r="R58" t="s">
        <v>63</v>
      </c>
      <c r="S58" s="52">
        <v>18</v>
      </c>
      <c r="T58" s="23">
        <v>0.59791666666666676</v>
      </c>
      <c r="U58" s="23">
        <f t="shared" si="46"/>
        <v>6.2499999999999778E-3</v>
      </c>
      <c r="V58" s="23">
        <v>6.2499999999999995E-3</v>
      </c>
      <c r="W58" s="23">
        <f t="shared" si="37"/>
        <v>3.6805555555555557E-2</v>
      </c>
      <c r="X58" s="23">
        <f t="shared" si="42"/>
        <v>0.6347222222222223</v>
      </c>
      <c r="Y58" s="23">
        <f t="shared" si="43"/>
        <v>0</v>
      </c>
      <c r="Z58" s="23"/>
      <c r="AA58" s="23">
        <f t="shared" si="44"/>
        <v>0.59791666666666676</v>
      </c>
      <c r="AB58" s="30">
        <f t="shared" si="45"/>
        <v>3.6805555555555536E-2</v>
      </c>
      <c r="AC58" s="30">
        <f>SUMIF($S$4:S58,S58,$AB$4:AB58)</f>
        <v>3.6805555555555536E-2</v>
      </c>
      <c r="AD58" s="23">
        <f>_xlfn.IFNA(VLOOKUP(VeredaTr127[[#This Row],[BUS]],_xlfn._xlws.SORT(TrCeib116[[BUS]:[T2]],11,-1,FALSE),11,FALSE),0)</f>
        <v>0.16944444444444429</v>
      </c>
      <c r="AE58" s="23">
        <f>+VeredaTr127[[#This Row],[∑VeredaTr]]+VeredaTr127[[#This Row],[T2]]</f>
        <v>0.20624999999999982</v>
      </c>
    </row>
    <row r="59" spans="1:31" x14ac:dyDescent="0.35">
      <c r="A59" t="s">
        <v>94</v>
      </c>
      <c r="B59" s="49">
        <v>8</v>
      </c>
      <c r="C59" s="23">
        <v>0.60972222222222239</v>
      </c>
      <c r="D59" s="23">
        <f t="shared" si="27"/>
        <v>9.0277777777777457E-3</v>
      </c>
      <c r="E59" s="23">
        <v>1.0416666666666666E-2</v>
      </c>
      <c r="F59" s="23">
        <f t="shared" si="33"/>
        <v>4.2361111111111106E-2</v>
      </c>
      <c r="G59" s="23">
        <f t="shared" si="47"/>
        <v>0.65208333333333346</v>
      </c>
      <c r="H59" s="23">
        <f t="shared" si="48"/>
        <v>1.388888888888884E-3</v>
      </c>
      <c r="I59" s="23"/>
      <c r="J59" s="23">
        <f t="shared" si="49"/>
        <v>0.61111111111111127</v>
      </c>
      <c r="K59" s="30">
        <f>(G59-C59)+TrCeib116[[#This Row],[Tt_tex]]</f>
        <v>4.2361111111111072E-2</v>
      </c>
      <c r="L59" s="30">
        <f>SUMIF(B$4:$B59,TrCeib116[[#This Row],[BUS]],$K$4:K59)</f>
        <v>0.21180555555555552</v>
      </c>
      <c r="M59" s="23">
        <f>_xlfn.IFNA(VLOOKUP(TrCeib116[[#This Row],[BUS]],_xlfn._xlws.SORT(VeredaTr127[[BUS]:[T2]],11,-1,FALSE),11,FALSE),0)</f>
        <v>0.33124999999999982</v>
      </c>
      <c r="N59" s="23">
        <f>+TrCeib116[[#This Row],[∑TrCeib]]+TrCeib116[[#This Row],[T2]]</f>
        <v>0.5430555555555554</v>
      </c>
      <c r="O59" s="23"/>
      <c r="P59"/>
      <c r="Q59"/>
      <c r="S59" s="50">
        <v>12</v>
      </c>
      <c r="T59" s="23">
        <v>0.60694444444444451</v>
      </c>
      <c r="U59" s="23">
        <f t="shared" si="46"/>
        <v>9.0277777777777457E-3</v>
      </c>
      <c r="V59" s="23">
        <v>9.0277777777777787E-3</v>
      </c>
      <c r="W59" s="23">
        <f t="shared" si="37"/>
        <v>3.6805555555555557E-2</v>
      </c>
      <c r="X59" s="23">
        <f t="shared" si="42"/>
        <v>0.64375000000000004</v>
      </c>
      <c r="Y59" s="23">
        <f t="shared" si="43"/>
        <v>0</v>
      </c>
      <c r="Z59" s="23">
        <v>2.7777777777777679E-3</v>
      </c>
      <c r="AA59" s="23">
        <f t="shared" si="44"/>
        <v>0.60694444444444451</v>
      </c>
      <c r="AB59" s="30">
        <f t="shared" si="45"/>
        <v>3.6805555555555536E-2</v>
      </c>
      <c r="AC59" s="30">
        <f>SUMIF($S$4:S59,S59,$AB$4:AB59)</f>
        <v>0.14722222222222214</v>
      </c>
      <c r="AD59" s="23">
        <f>_xlfn.IFNA(VLOOKUP(VeredaTr127[[#This Row],[BUS]],_xlfn._xlws.SORT(TrCeib116[[BUS]:[T2]],11,-1,FALSE),11,FALSE),0)</f>
        <v>0.21180555555555547</v>
      </c>
      <c r="AE59" s="23">
        <f>+VeredaTr127[[#This Row],[∑VeredaTr]]+VeredaTr127[[#This Row],[T2]]</f>
        <v>0.35902777777777761</v>
      </c>
    </row>
    <row r="60" spans="1:31" x14ac:dyDescent="0.35">
      <c r="B60" s="51">
        <v>16</v>
      </c>
      <c r="C60" s="23">
        <v>0.61597222222222237</v>
      </c>
      <c r="D60" s="23">
        <f t="shared" si="27"/>
        <v>6.2499999999999778E-3</v>
      </c>
      <c r="E60" s="23">
        <v>1.0416666666666666E-2</v>
      </c>
      <c r="F60" s="23">
        <f t="shared" si="33"/>
        <v>4.2361111111111106E-2</v>
      </c>
      <c r="G60" s="23">
        <f t="shared" si="47"/>
        <v>0.65833333333333344</v>
      </c>
      <c r="H60" s="23">
        <f t="shared" si="48"/>
        <v>4.1666666666666519E-3</v>
      </c>
      <c r="I60" s="23"/>
      <c r="J60" s="23">
        <f t="shared" si="49"/>
        <v>0.62013888888888902</v>
      </c>
      <c r="K60" s="30">
        <f>(G60-C60)+TrCeib116[[#This Row],[Tt_tex]]</f>
        <v>4.2361111111111072E-2</v>
      </c>
      <c r="L60" s="30">
        <f>SUMIF(B$4:$B60,TrCeib116[[#This Row],[BUS]],$K$4:K60)</f>
        <v>0.16736111111111107</v>
      </c>
      <c r="M60" s="23">
        <f>_xlfn.IFNA(VLOOKUP(TrCeib116[[#This Row],[BUS]],_xlfn._xlws.SORT(VeredaTr127[[BUS]:[T2]],11,-1,FALSE),11,FALSE),0)</f>
        <v>0.29444444444444429</v>
      </c>
      <c r="N60" s="23">
        <f>+TrCeib116[[#This Row],[∑TrCeib]]+TrCeib116[[#This Row],[T2]]</f>
        <v>0.46180555555555536</v>
      </c>
      <c r="O60" s="23"/>
      <c r="P60"/>
      <c r="Q60"/>
      <c r="S60" s="50">
        <v>13</v>
      </c>
      <c r="T60" s="23">
        <v>0.61597222222222225</v>
      </c>
      <c r="U60" s="23">
        <f t="shared" si="46"/>
        <v>9.0277777777777457E-3</v>
      </c>
      <c r="V60" s="23">
        <v>9.0277777777777787E-3</v>
      </c>
      <c r="W60" s="23">
        <f t="shared" si="37"/>
        <v>3.6805555555555557E-2</v>
      </c>
      <c r="X60" s="23">
        <f t="shared" si="42"/>
        <v>0.65277777777777779</v>
      </c>
      <c r="Y60" s="23">
        <f t="shared" si="43"/>
        <v>0</v>
      </c>
      <c r="Z60" s="23">
        <v>5.5555555555555358E-3</v>
      </c>
      <c r="AA60" s="23">
        <f t="shared" si="44"/>
        <v>0.61597222222222225</v>
      </c>
      <c r="AB60" s="30">
        <f t="shared" si="45"/>
        <v>3.6805555555555536E-2</v>
      </c>
      <c r="AC60" s="30">
        <f>SUMIF($S$4:S101,S60,$AB$4:AB101)</f>
        <v>0.14722222222222214</v>
      </c>
      <c r="AD60" s="23">
        <f>_xlfn.IFNA(VLOOKUP(VeredaTr127[[#This Row],[BUS]],_xlfn._xlws.SORT(TrCeib116[[BUS]:[T2]],11,-1,FALSE),11,FALSE),0)</f>
        <v>0.21180555555555552</v>
      </c>
      <c r="AE60" s="23">
        <f>+VeredaTr127[[#This Row],[∑VeredaTr]]+VeredaTr127[[#This Row],[T2]]</f>
        <v>0.35902777777777767</v>
      </c>
    </row>
    <row r="61" spans="1:31" x14ac:dyDescent="0.35">
      <c r="A61" t="s">
        <v>63</v>
      </c>
      <c r="B61" s="28">
        <v>3</v>
      </c>
      <c r="C61" s="23">
        <v>0.62222222222222234</v>
      </c>
      <c r="D61" s="23">
        <f t="shared" si="27"/>
        <v>6.2499999999999778E-3</v>
      </c>
      <c r="E61" s="23">
        <v>1.0416666666666666E-2</v>
      </c>
      <c r="F61" s="23">
        <f t="shared" si="33"/>
        <v>4.2361111111111106E-2</v>
      </c>
      <c r="G61" s="23">
        <f t="shared" si="47"/>
        <v>0.66458333333333341</v>
      </c>
      <c r="H61" s="23">
        <f t="shared" si="48"/>
        <v>4.1666666666666519E-3</v>
      </c>
      <c r="I61" s="23"/>
      <c r="J61" s="23">
        <f t="shared" si="49"/>
        <v>0.62638888888888899</v>
      </c>
      <c r="K61" s="30">
        <f>(G61-C61)+TrCeib116[[#This Row],[Tt_tex]]</f>
        <v>4.2361111111111072E-2</v>
      </c>
      <c r="L61" s="30">
        <f>SUMIF(B$4:$B61,TrCeib116[[#This Row],[BUS]],$K$4:K61)</f>
        <v>0.12708333333333333</v>
      </c>
      <c r="M61" s="23">
        <f>_xlfn.IFNA(VLOOKUP(TrCeib116[[#This Row],[BUS]],_xlfn._xlws.SORT(VeredaTr127[[BUS]:[T2]],11,-1,FALSE),11,FALSE),0)</f>
        <v>0.22083333333333321</v>
      </c>
      <c r="N61" s="23">
        <f>+TrCeib116[[#This Row],[∑TrCeib]]+TrCeib116[[#This Row],[T2]]</f>
        <v>0.34791666666666654</v>
      </c>
      <c r="O61" s="23"/>
      <c r="P61"/>
      <c r="Q61"/>
      <c r="R61" t="s">
        <v>94</v>
      </c>
      <c r="S61" s="49">
        <v>6</v>
      </c>
      <c r="T61" s="23">
        <v>0.625</v>
      </c>
      <c r="U61" s="23">
        <f t="shared" ref="U61:U71" si="50">T61-T60</f>
        <v>9.0277777777777457E-3</v>
      </c>
      <c r="V61" s="23">
        <v>9.0277777777777787E-3</v>
      </c>
      <c r="W61" s="23">
        <f t="shared" si="37"/>
        <v>3.6805555555555557E-2</v>
      </c>
      <c r="X61" s="23">
        <f t="shared" ref="X61:X71" si="51">+T61+W61</f>
        <v>0.66180555555555554</v>
      </c>
      <c r="Y61" s="23">
        <f t="shared" ref="Y61:Y71" si="52">+(T60+V61)-T61</f>
        <v>0</v>
      </c>
      <c r="Z61" s="23">
        <v>8.3333333333333037E-3</v>
      </c>
      <c r="AA61" s="23">
        <f t="shared" ref="AA61:AA71" si="53">+T61+Y61</f>
        <v>0.625</v>
      </c>
      <c r="AB61" s="30">
        <f t="shared" ref="AB61:AB71" si="54">(X61-T61)</f>
        <v>3.6805555555555536E-2</v>
      </c>
      <c r="AC61" s="30">
        <f>SUMIF($S$4:S61,S61,$AB$4:AB61)</f>
        <v>0.22083333333333321</v>
      </c>
      <c r="AD61" s="23">
        <f>_xlfn.IFNA(VLOOKUP(VeredaTr127[[#This Row],[BUS]],_xlfn._xlws.SORT(TrCeib116[[BUS]:[T2]],11,-1,FALSE),11,FALSE),0)</f>
        <v>0.33749999999999986</v>
      </c>
      <c r="AE61" s="23">
        <f>+VeredaTr127[[#This Row],[∑VeredaTr]]+VeredaTr127[[#This Row],[T2]]</f>
        <v>0.55833333333333313</v>
      </c>
    </row>
    <row r="62" spans="1:31" x14ac:dyDescent="0.35">
      <c r="B62" s="52">
        <v>17</v>
      </c>
      <c r="C62" s="23">
        <v>0.62847222222222232</v>
      </c>
      <c r="D62" s="23">
        <f t="shared" si="27"/>
        <v>6.2499999999999778E-3</v>
      </c>
      <c r="E62" s="23">
        <v>1.0416666666666666E-2</v>
      </c>
      <c r="F62" s="23">
        <f t="shared" si="33"/>
        <v>4.2361111111111106E-2</v>
      </c>
      <c r="G62" s="23">
        <f t="shared" si="47"/>
        <v>0.67083333333333339</v>
      </c>
      <c r="H62" s="23">
        <f t="shared" si="48"/>
        <v>4.1666666666666519E-3</v>
      </c>
      <c r="I62" s="23"/>
      <c r="J62" s="23">
        <f t="shared" si="49"/>
        <v>0.63263888888888897</v>
      </c>
      <c r="K62" s="30">
        <f>(G62-C62)+TrCeib116[[#This Row],[Tt_tex]]</f>
        <v>4.2361111111111072E-2</v>
      </c>
      <c r="L62" s="30">
        <f>SUMIF(B$4:$B62,TrCeib116[[#This Row],[BUS]],$K$4:K62)</f>
        <v>4.2361111111111072E-2</v>
      </c>
      <c r="M62" s="23">
        <f>_xlfn.IFNA(VLOOKUP(TrCeib116[[#This Row],[BUS]],_xlfn._xlws.SORT(VeredaTr127[[BUS]:[T2]],11,-1,FALSE),11,FALSE),0)</f>
        <v>0.18402777777777768</v>
      </c>
      <c r="N62" s="23">
        <f>+TrCeib116[[#This Row],[∑TrCeib]]+TrCeib116[[#This Row],[T2]]</f>
        <v>0.22638888888888875</v>
      </c>
      <c r="O62" s="23"/>
      <c r="P62"/>
      <c r="Q62"/>
      <c r="S62" s="51">
        <v>14</v>
      </c>
      <c r="T62" s="23">
        <v>0.63402777777777775</v>
      </c>
      <c r="U62" s="23">
        <f t="shared" si="50"/>
        <v>9.0277777777777457E-3</v>
      </c>
      <c r="V62" s="23">
        <v>9.0277777777777787E-3</v>
      </c>
      <c r="W62" s="23">
        <f t="shared" si="37"/>
        <v>3.6805555555555557E-2</v>
      </c>
      <c r="X62" s="23">
        <f t="shared" si="51"/>
        <v>0.67083333333333328</v>
      </c>
      <c r="Y62" s="23">
        <f t="shared" si="52"/>
        <v>0</v>
      </c>
      <c r="Z62" s="23">
        <v>9.0277777777776347E-3</v>
      </c>
      <c r="AA62" s="23">
        <f t="shared" si="53"/>
        <v>0.63402777777777775</v>
      </c>
      <c r="AB62" s="30">
        <f t="shared" si="54"/>
        <v>3.6805555555555536E-2</v>
      </c>
      <c r="AC62" s="30">
        <f>SUMIF($S$4:S62,S62,$AB$4:AB62)</f>
        <v>0.18402777777777773</v>
      </c>
      <c r="AD62" s="23">
        <f>_xlfn.IFNA(VLOOKUP(VeredaTr127[[#This Row],[BUS]],_xlfn._xlws.SORT(TrCeib116[[BUS]:[T2]],11,-1,FALSE),11,FALSE),0)</f>
        <v>0.29652777777777761</v>
      </c>
      <c r="AE62" s="23">
        <f>+VeredaTr127[[#This Row],[∑VeredaTr]]+VeredaTr127[[#This Row],[T2]]</f>
        <v>0.48055555555555535</v>
      </c>
    </row>
    <row r="63" spans="1:31" x14ac:dyDescent="0.35">
      <c r="B63" s="52">
        <v>18</v>
      </c>
      <c r="C63" s="23">
        <v>0.6347222222222223</v>
      </c>
      <c r="D63" s="23">
        <f t="shared" si="27"/>
        <v>6.2499999999999778E-3</v>
      </c>
      <c r="E63" s="23">
        <v>1.0416666666666666E-2</v>
      </c>
      <c r="F63" s="23">
        <f t="shared" si="33"/>
        <v>4.2361111111111106E-2</v>
      </c>
      <c r="G63" s="23">
        <f t="shared" si="47"/>
        <v>0.67708333333333337</v>
      </c>
      <c r="H63" s="23">
        <f t="shared" si="48"/>
        <v>4.1666666666666519E-3</v>
      </c>
      <c r="I63" s="23"/>
      <c r="J63" s="23">
        <f t="shared" si="49"/>
        <v>0.63888888888888895</v>
      </c>
      <c r="K63" s="30">
        <f>(G63-C63)+TrCeib116[[#This Row],[Tt_tex]]</f>
        <v>4.2361111111111072E-2</v>
      </c>
      <c r="L63" s="30">
        <f>SUMIF(B$4:$B63,TrCeib116[[#This Row],[BUS]],$K$4:K63)</f>
        <v>4.2361111111111072E-2</v>
      </c>
      <c r="M63" s="23">
        <f>_xlfn.IFNA(VLOOKUP(TrCeib116[[#This Row],[BUS]],_xlfn._xlws.SORT(VeredaTr127[[BUS]:[T2]],11,-1,FALSE),11,FALSE),0)</f>
        <v>0.14722222222222214</v>
      </c>
      <c r="N63" s="23">
        <f>+TrCeib116[[#This Row],[∑TrCeib]]+TrCeib116[[#This Row],[T2]]</f>
        <v>0.18958333333333321</v>
      </c>
      <c r="O63" s="23"/>
      <c r="P63"/>
      <c r="Q63"/>
      <c r="S63" s="53">
        <v>19</v>
      </c>
      <c r="T63" s="23">
        <v>0.64305555555555549</v>
      </c>
      <c r="U63" s="23">
        <f t="shared" si="50"/>
        <v>9.0277777777777457E-3</v>
      </c>
      <c r="V63" s="23">
        <v>9.0277777777777787E-3</v>
      </c>
      <c r="W63" s="23">
        <f t="shared" si="37"/>
        <v>3.6805555555555557E-2</v>
      </c>
      <c r="X63" s="23">
        <f t="shared" si="51"/>
        <v>0.67986111111111103</v>
      </c>
      <c r="Y63" s="23">
        <f t="shared" si="52"/>
        <v>0</v>
      </c>
      <c r="Z63" s="23">
        <v>9.0277777777776347E-3</v>
      </c>
      <c r="AA63" s="23">
        <f t="shared" si="53"/>
        <v>0.64305555555555549</v>
      </c>
      <c r="AB63" s="30">
        <f t="shared" si="54"/>
        <v>3.6805555555555536E-2</v>
      </c>
      <c r="AC63" s="30">
        <f>SUMIF($S$4:S63,S63,$AB$4:AB63)</f>
        <v>3.6805555555555536E-2</v>
      </c>
      <c r="AD63" s="23">
        <f>_xlfn.IFNA(VLOOKUP(VeredaTr127[[#This Row],[BUS]],_xlfn._xlws.SORT(TrCeib116[[BUS]:[T2]],11,-1,FALSE),11,FALSE),0)</f>
        <v>0.16944444444444429</v>
      </c>
      <c r="AE63" s="23">
        <f>+VeredaTr127[[#This Row],[∑VeredaTr]]+VeredaTr127[[#This Row],[T2]]</f>
        <v>0.20624999999999982</v>
      </c>
    </row>
    <row r="64" spans="1:31" x14ac:dyDescent="0.35">
      <c r="A64" t="s">
        <v>70</v>
      </c>
      <c r="B64" s="50">
        <v>12</v>
      </c>
      <c r="C64" s="23">
        <v>0.64375000000000004</v>
      </c>
      <c r="D64" s="23">
        <f t="shared" si="27"/>
        <v>9.0277777777777457E-3</v>
      </c>
      <c r="E64" s="23">
        <v>1.0416666666666666E-2</v>
      </c>
      <c r="F64" s="23">
        <f t="shared" si="33"/>
        <v>4.2361111111111106E-2</v>
      </c>
      <c r="G64" s="23">
        <f t="shared" si="47"/>
        <v>0.68611111111111112</v>
      </c>
      <c r="H64" s="23">
        <f t="shared" si="48"/>
        <v>1.388888888888884E-3</v>
      </c>
      <c r="I64" s="23"/>
      <c r="J64" s="23">
        <f t="shared" si="49"/>
        <v>0.64513888888888893</v>
      </c>
      <c r="K64" s="30">
        <f>(G64-C64)+TrCeib116[[#This Row],[Tt_tex]]</f>
        <v>4.2361111111111072E-2</v>
      </c>
      <c r="L64" s="30">
        <f>SUMIF(B$4:$B64,TrCeib116[[#This Row],[BUS]],$K$4:K64)</f>
        <v>0.21180555555555547</v>
      </c>
      <c r="M64" s="23">
        <f>_xlfn.IFNA(VLOOKUP(TrCeib116[[#This Row],[BUS]],_xlfn._xlws.SORT(VeredaTr127[[BUS]:[T2]],11,-1,FALSE),11,FALSE),0)</f>
        <v>0.14722222222222214</v>
      </c>
      <c r="N64" s="23">
        <f>+TrCeib116[[#This Row],[∑TrCeib]]+TrCeib116[[#This Row],[T2]]</f>
        <v>0.35902777777777761</v>
      </c>
      <c r="O64" s="23"/>
      <c r="P64"/>
      <c r="Q64"/>
      <c r="S64" s="51">
        <v>15</v>
      </c>
      <c r="T64" s="23">
        <v>0.65208333333333324</v>
      </c>
      <c r="U64" s="23">
        <f t="shared" si="50"/>
        <v>9.0277777777777457E-3</v>
      </c>
      <c r="V64" s="23">
        <v>9.0277777777777787E-3</v>
      </c>
      <c r="W64" s="23">
        <f t="shared" si="37"/>
        <v>3.6805555555555557E-2</v>
      </c>
      <c r="X64" s="23">
        <f t="shared" si="51"/>
        <v>0.68888888888888877</v>
      </c>
      <c r="Y64" s="23">
        <f t="shared" si="52"/>
        <v>0</v>
      </c>
      <c r="Z64" s="23">
        <v>9.0277777777775237E-3</v>
      </c>
      <c r="AA64" s="23">
        <f t="shared" si="53"/>
        <v>0.65208333333333324</v>
      </c>
      <c r="AB64" s="30">
        <f t="shared" si="54"/>
        <v>3.6805555555555536E-2</v>
      </c>
      <c r="AC64" s="30">
        <f>SUMIF($S$4:S64,S64,$AB$4:AB64)</f>
        <v>0.18402777777777773</v>
      </c>
      <c r="AD64" s="23">
        <f>_xlfn.IFNA(VLOOKUP(VeredaTr127[[#This Row],[BUS]],_xlfn._xlws.SORT(TrCeib116[[BUS]:[T2]],11,-1,FALSE),11,FALSE),0)</f>
        <v>0.29652777777777761</v>
      </c>
      <c r="AE64" s="23">
        <f>+VeredaTr127[[#This Row],[∑VeredaTr]]+VeredaTr127[[#This Row],[T2]]</f>
        <v>0.48055555555555535</v>
      </c>
    </row>
    <row r="65" spans="1:31" x14ac:dyDescent="0.35">
      <c r="A65" t="s">
        <v>70</v>
      </c>
      <c r="B65" s="50">
        <v>13</v>
      </c>
      <c r="C65" s="23">
        <v>0.65277777777777779</v>
      </c>
      <c r="D65" s="23">
        <f t="shared" si="27"/>
        <v>9.0277777777777457E-3</v>
      </c>
      <c r="E65" s="23">
        <v>1.0416666666666666E-2</v>
      </c>
      <c r="F65" s="23">
        <f t="shared" si="33"/>
        <v>4.2361111111111106E-2</v>
      </c>
      <c r="G65" s="23">
        <f t="shared" si="47"/>
        <v>0.69513888888888886</v>
      </c>
      <c r="H65" s="23">
        <f t="shared" si="48"/>
        <v>1.388888888888884E-3</v>
      </c>
      <c r="I65" s="23"/>
      <c r="J65" s="23">
        <f t="shared" si="49"/>
        <v>0.65416666666666667</v>
      </c>
      <c r="K65" s="30">
        <f>(G65-C65)+TrCeib116[[#This Row],[Tt_tex]]</f>
        <v>4.2361111111111072E-2</v>
      </c>
      <c r="L65" s="30">
        <f>SUMIF(B$4:$B98,TrCeib116[[#This Row],[BUS]],$K$4:K98)</f>
        <v>0.21180555555555552</v>
      </c>
      <c r="M65" s="23">
        <f>_xlfn.IFNA(VLOOKUP(TrCeib116[[#This Row],[BUS]],_xlfn._xlws.SORT(VeredaTr127[[BUS]:[T2]],11,-1,FALSE),11,FALSE),0)</f>
        <v>0.14722222222222214</v>
      </c>
      <c r="N65" s="23">
        <f>+TrCeib116[[#This Row],[∑TrCeib]]+TrCeib116[[#This Row],[T2]]</f>
        <v>0.35902777777777767</v>
      </c>
      <c r="O65" s="23"/>
      <c r="P65" s="40"/>
      <c r="Q65"/>
      <c r="R65" t="s">
        <v>94</v>
      </c>
      <c r="S65" s="49">
        <v>8</v>
      </c>
      <c r="T65" s="23">
        <v>0.66111111111111098</v>
      </c>
      <c r="U65" s="23">
        <f t="shared" si="50"/>
        <v>9.0277777777777457E-3</v>
      </c>
      <c r="V65" s="23">
        <v>9.0277777777777787E-3</v>
      </c>
      <c r="W65" s="23">
        <f t="shared" si="37"/>
        <v>3.6805555555555557E-2</v>
      </c>
      <c r="X65" s="23">
        <f t="shared" si="51"/>
        <v>0.69791666666666652</v>
      </c>
      <c r="Y65" s="23">
        <f t="shared" si="52"/>
        <v>0</v>
      </c>
      <c r="Z65" s="23">
        <v>9.0277777777775237E-3</v>
      </c>
      <c r="AA65" s="23">
        <f t="shared" si="53"/>
        <v>0.66111111111111098</v>
      </c>
      <c r="AB65" s="30">
        <f t="shared" si="54"/>
        <v>3.6805555555555536E-2</v>
      </c>
      <c r="AC65" s="30">
        <f>SUMIF($S$4:S65,S65,$AB$4:AB65)</f>
        <v>0.22083333333333324</v>
      </c>
      <c r="AD65" s="23">
        <f>_xlfn.IFNA(VLOOKUP(VeredaTr127[[#This Row],[BUS]],_xlfn._xlws.SORT(TrCeib116[[BUS]:[T2]],11,-1,FALSE),11,FALSE),0)</f>
        <v>0.33888888888888874</v>
      </c>
      <c r="AE65" s="23">
        <f>+VeredaTr127[[#This Row],[∑VeredaTr]]+VeredaTr127[[#This Row],[T2]]</f>
        <v>0.55972222222222201</v>
      </c>
    </row>
    <row r="66" spans="1:31" x14ac:dyDescent="0.35">
      <c r="A66" t="s">
        <v>94</v>
      </c>
      <c r="B66" s="49">
        <v>6</v>
      </c>
      <c r="C66" s="23">
        <v>0.66180555555555554</v>
      </c>
      <c r="D66" s="23">
        <f t="shared" si="27"/>
        <v>9.0277777777777457E-3</v>
      </c>
      <c r="E66" s="23">
        <v>1.0416666666666666E-2</v>
      </c>
      <c r="F66" s="23">
        <f t="shared" si="33"/>
        <v>4.2361111111111106E-2</v>
      </c>
      <c r="G66" s="23">
        <f t="shared" ref="G66:G76" si="55">C66+F66</f>
        <v>0.70416666666666661</v>
      </c>
      <c r="H66" s="23">
        <f t="shared" ref="H66:H76" si="56">+(C65+E66)-C66</f>
        <v>1.388888888888884E-3</v>
      </c>
      <c r="I66" s="23"/>
      <c r="J66" s="23">
        <f t="shared" ref="J66:J76" si="57">+C66+H66</f>
        <v>0.66319444444444442</v>
      </c>
      <c r="K66" s="30">
        <f>(G66-C66)+TrCeib116[[#This Row],[Tt_tex]]</f>
        <v>4.2361111111111072E-2</v>
      </c>
      <c r="L66" s="30">
        <f>SUMIF(B$4:$B66,TrCeib116[[#This Row],[BUS]],$K$4:K66)</f>
        <v>0.25277777777777771</v>
      </c>
      <c r="M66" s="23">
        <f>_xlfn.IFNA(VLOOKUP(TrCeib116[[#This Row],[BUS]],_xlfn._xlws.SORT(VeredaTr127[[BUS]:[T2]],11,-1,FALSE),11,FALSE),0)</f>
        <v>0.29444444444444429</v>
      </c>
      <c r="N66" s="23">
        <f>+TrCeib116[[#This Row],[∑TrCeib]]+TrCeib116[[#This Row],[T2]]</f>
        <v>0.54722222222222205</v>
      </c>
      <c r="O66" s="23"/>
      <c r="P66" s="40"/>
      <c r="Q66"/>
      <c r="S66" s="51">
        <v>16</v>
      </c>
      <c r="T66" s="23">
        <v>0.67013888888888873</v>
      </c>
      <c r="U66" s="23">
        <f t="shared" si="50"/>
        <v>9.0277777777777457E-3</v>
      </c>
      <c r="V66" s="23">
        <v>9.0277777777777787E-3</v>
      </c>
      <c r="W66" s="23">
        <f t="shared" si="37"/>
        <v>3.6805555555555557E-2</v>
      </c>
      <c r="X66" s="23">
        <f t="shared" si="51"/>
        <v>0.70694444444444426</v>
      </c>
      <c r="Y66" s="23">
        <f t="shared" si="52"/>
        <v>0</v>
      </c>
      <c r="Z66" s="23">
        <v>1.1805555555555292E-2</v>
      </c>
      <c r="AA66" s="23">
        <f t="shared" si="53"/>
        <v>0.67013888888888873</v>
      </c>
      <c r="AB66" s="30">
        <f t="shared" si="54"/>
        <v>3.6805555555555536E-2</v>
      </c>
      <c r="AC66" s="30">
        <f>SUMIF($S$4:S66,S66,$AB$4:AB66)</f>
        <v>0.18402777777777768</v>
      </c>
      <c r="AD66" s="23">
        <f>_xlfn.IFNA(VLOOKUP(VeredaTr127[[#This Row],[BUS]],_xlfn._xlws.SORT(TrCeib116[[BUS]:[T2]],11,-1,FALSE),11,FALSE),0)</f>
        <v>0.29444444444444429</v>
      </c>
      <c r="AE66" s="23">
        <f>+VeredaTr127[[#This Row],[∑VeredaTr]]+VeredaTr127[[#This Row],[T2]]</f>
        <v>0.47847222222222197</v>
      </c>
    </row>
    <row r="67" spans="1:31" x14ac:dyDescent="0.35">
      <c r="A67" t="s">
        <v>70</v>
      </c>
      <c r="B67" s="51">
        <v>14</v>
      </c>
      <c r="C67" s="23">
        <v>0.67083333333333328</v>
      </c>
      <c r="D67" s="23">
        <f t="shared" si="27"/>
        <v>9.0277777777777457E-3</v>
      </c>
      <c r="E67" s="23">
        <v>1.0416666666666666E-2</v>
      </c>
      <c r="F67" s="23">
        <f t="shared" si="33"/>
        <v>4.2361111111111106E-2</v>
      </c>
      <c r="G67" s="23">
        <f t="shared" si="55"/>
        <v>0.71319444444444435</v>
      </c>
      <c r="H67" s="23">
        <f t="shared" si="56"/>
        <v>1.388888888888884E-3</v>
      </c>
      <c r="I67" s="23"/>
      <c r="J67" s="23">
        <f t="shared" si="57"/>
        <v>0.67222222222222217</v>
      </c>
      <c r="K67" s="30">
        <f>(G67-C67)+TrCeib116[[#This Row],[Tt_tex]]</f>
        <v>4.2361111111111072E-2</v>
      </c>
      <c r="L67" s="30">
        <f>SUMIF(B$4:$B67,TrCeib116[[#This Row],[BUS]],$K$4:K67)</f>
        <v>0.21180555555555547</v>
      </c>
      <c r="M67" s="23">
        <f>_xlfn.IFNA(VLOOKUP(TrCeib116[[#This Row],[BUS]],_xlfn._xlws.SORT(VeredaTr127[[BUS]:[T2]],11,-1,FALSE),11,FALSE),0)</f>
        <v>0.29444444444444434</v>
      </c>
      <c r="N67" s="23">
        <f>+TrCeib116[[#This Row],[∑TrCeib]]+TrCeib116[[#This Row],[T2]]</f>
        <v>0.50624999999999987</v>
      </c>
      <c r="O67" s="23"/>
      <c r="P67" s="40"/>
      <c r="Q67"/>
      <c r="S67" s="28">
        <v>3</v>
      </c>
      <c r="T67" s="23">
        <v>0.67916666666666647</v>
      </c>
      <c r="U67" s="23">
        <f t="shared" si="50"/>
        <v>9.0277777777777457E-3</v>
      </c>
      <c r="V67" s="23">
        <v>9.0277777777777787E-3</v>
      </c>
      <c r="W67" s="23">
        <f t="shared" si="37"/>
        <v>3.6805555555555557E-2</v>
      </c>
      <c r="X67" s="23">
        <f t="shared" si="51"/>
        <v>0.71597222222222201</v>
      </c>
      <c r="Y67" s="23">
        <f t="shared" si="52"/>
        <v>0</v>
      </c>
      <c r="Z67" s="23">
        <v>1.4583333333333059E-2</v>
      </c>
      <c r="AA67" s="23">
        <f t="shared" si="53"/>
        <v>0.67916666666666647</v>
      </c>
      <c r="AB67" s="30">
        <f t="shared" si="54"/>
        <v>3.6805555555555536E-2</v>
      </c>
      <c r="AC67" s="30">
        <f>SUMIF($S$4:S67,S67,$AB$4:AB67)</f>
        <v>0.11041666666666661</v>
      </c>
      <c r="AD67" s="23">
        <f>_xlfn.IFNA(VLOOKUP(VeredaTr127[[#This Row],[BUS]],_xlfn._xlws.SORT(TrCeib116[[BUS]:[T2]],11,-1,FALSE),11,FALSE),0)</f>
        <v>0.25416666666666654</v>
      </c>
      <c r="AE67" s="23">
        <f>+VeredaTr127[[#This Row],[∑VeredaTr]]+VeredaTr127[[#This Row],[T2]]</f>
        <v>0.36458333333333315</v>
      </c>
    </row>
    <row r="68" spans="1:31" x14ac:dyDescent="0.35">
      <c r="B68" s="53">
        <v>19</v>
      </c>
      <c r="C68" s="23">
        <v>0.67986111111111103</v>
      </c>
      <c r="D68" s="23">
        <f t="shared" si="27"/>
        <v>9.0277777777777457E-3</v>
      </c>
      <c r="E68" s="23">
        <v>1.0416666666666666E-2</v>
      </c>
      <c r="F68" s="23">
        <f t="shared" si="33"/>
        <v>4.2361111111111106E-2</v>
      </c>
      <c r="G68" s="23">
        <f t="shared" si="55"/>
        <v>0.7222222222222221</v>
      </c>
      <c r="H68" s="23">
        <f t="shared" si="56"/>
        <v>1.388888888888884E-3</v>
      </c>
      <c r="I68" s="23"/>
      <c r="J68" s="23">
        <f t="shared" si="57"/>
        <v>0.68124999999999991</v>
      </c>
      <c r="K68" s="30">
        <f>(G68-C68)+TrCeib116[[#This Row],[Tt_tex]]</f>
        <v>4.2361111111111072E-2</v>
      </c>
      <c r="L68" s="30">
        <f>SUMIF(B$4:$B68,TrCeib116[[#This Row],[BUS]],$K$4:K68)</f>
        <v>8.4722222222222143E-2</v>
      </c>
      <c r="M68" s="23">
        <f>_xlfn.IFNA(VLOOKUP(TrCeib116[[#This Row],[BUS]],_xlfn._xlws.SORT(VeredaTr127[[BUS]:[T2]],11,-1,FALSE),11,FALSE),0)</f>
        <v>0.14722222222222214</v>
      </c>
      <c r="N68" s="23">
        <f>+TrCeib116[[#This Row],[∑TrCeib]]+TrCeib116[[#This Row],[T2]]</f>
        <v>0.23194444444444429</v>
      </c>
      <c r="O68" s="23"/>
      <c r="P68" s="40"/>
      <c r="Q68"/>
      <c r="S68" s="52">
        <v>17</v>
      </c>
      <c r="T68" s="23">
        <v>0.68819444444444444</v>
      </c>
      <c r="U68" s="23">
        <f t="shared" si="50"/>
        <v>9.0277777777779677E-3</v>
      </c>
      <c r="V68" s="23">
        <v>5.5555555555555558E-3</v>
      </c>
      <c r="W68" s="23">
        <f t="shared" si="37"/>
        <v>3.6805555555555557E-2</v>
      </c>
      <c r="X68" s="23">
        <f t="shared" si="51"/>
        <v>0.72499999999999998</v>
      </c>
      <c r="Y68" s="23">
        <f t="shared" si="52"/>
        <v>-3.4722222222224319E-3</v>
      </c>
      <c r="Z68" s="23">
        <v>1.7361111111111112E-2</v>
      </c>
      <c r="AA68" s="23">
        <f t="shared" si="53"/>
        <v>0.68472222222222201</v>
      </c>
      <c r="AB68" s="30">
        <f t="shared" si="54"/>
        <v>3.6805555555555536E-2</v>
      </c>
      <c r="AC68" s="30">
        <f>SUMIF($S$4:S68,S68,$AB$4:AB68)</f>
        <v>7.3611111111111072E-2</v>
      </c>
      <c r="AD68" s="23">
        <f>_xlfn.IFNA(VLOOKUP(VeredaTr127[[#This Row],[BUS]],_xlfn._xlws.SORT(TrCeib116[[BUS]:[T2]],11,-1,FALSE),11,FALSE),0)</f>
        <v>0.16944444444444429</v>
      </c>
      <c r="AE68" s="23">
        <f>+VeredaTr127[[#This Row],[∑VeredaTr]]+VeredaTr127[[#This Row],[T2]]</f>
        <v>0.24305555555555536</v>
      </c>
    </row>
    <row r="69" spans="1:31" x14ac:dyDescent="0.35">
      <c r="A69" t="s">
        <v>70</v>
      </c>
      <c r="B69" s="51">
        <v>15</v>
      </c>
      <c r="C69" s="23">
        <v>0.68888888888888877</v>
      </c>
      <c r="D69" s="23">
        <f t="shared" si="27"/>
        <v>9.0277777777777457E-3</v>
      </c>
      <c r="E69" s="23">
        <v>5.5555555555555558E-3</v>
      </c>
      <c r="F69" s="23">
        <f t="shared" si="33"/>
        <v>4.2361111111111106E-2</v>
      </c>
      <c r="G69" s="23">
        <f t="shared" si="55"/>
        <v>0.73124999999999984</v>
      </c>
      <c r="H69" s="23">
        <f t="shared" si="56"/>
        <v>-3.4722222222222099E-3</v>
      </c>
      <c r="I69" s="23"/>
      <c r="J69" s="23">
        <f t="shared" si="57"/>
        <v>0.68541666666666656</v>
      </c>
      <c r="K69" s="30">
        <f>(G69-C69)+TrCeib116[[#This Row],[Tt_tex]]</f>
        <v>4.2361111111111072E-2</v>
      </c>
      <c r="L69" s="30">
        <f>SUMIF(B$4:$B69,TrCeib116[[#This Row],[BUS]],$K$4:K69)</f>
        <v>0.21180555555555547</v>
      </c>
      <c r="M69" s="23">
        <f>_xlfn.IFNA(VLOOKUP(TrCeib116[[#This Row],[BUS]],_xlfn._xlws.SORT(VeredaTr127[[BUS]:[T2]],11,-1,FALSE),11,FALSE),0)</f>
        <v>0.29444444444444434</v>
      </c>
      <c r="N69" s="23">
        <f>+TrCeib116[[#This Row],[∑TrCeib]]+TrCeib116[[#This Row],[T2]]</f>
        <v>0.50624999999999987</v>
      </c>
      <c r="O69" s="23"/>
      <c r="P69"/>
      <c r="Q69"/>
      <c r="S69" s="52">
        <v>18</v>
      </c>
      <c r="T69" s="23">
        <v>0.69374999999999998</v>
      </c>
      <c r="U69" s="23">
        <f t="shared" si="50"/>
        <v>5.5555555555555358E-3</v>
      </c>
      <c r="V69" s="23">
        <v>5.5555555555555558E-3</v>
      </c>
      <c r="W69" s="23">
        <f t="shared" si="37"/>
        <v>3.6805555555555557E-2</v>
      </c>
      <c r="X69" s="23">
        <f t="shared" si="51"/>
        <v>0.73055555555555551</v>
      </c>
      <c r="Y69" s="23">
        <f t="shared" si="52"/>
        <v>0</v>
      </c>
      <c r="Z69" s="23">
        <v>1.6666666666666666E-2</v>
      </c>
      <c r="AA69" s="23">
        <f t="shared" si="53"/>
        <v>0.69374999999999998</v>
      </c>
      <c r="AB69" s="30">
        <f t="shared" si="54"/>
        <v>3.6805555555555536E-2</v>
      </c>
      <c r="AC69" s="30">
        <f>SUMIF($S$4:S69,S69,$AB$4:AB69)</f>
        <v>7.3611111111111072E-2</v>
      </c>
      <c r="AD69" s="23">
        <f>_xlfn.IFNA(VLOOKUP(VeredaTr127[[#This Row],[BUS]],_xlfn._xlws.SORT(TrCeib116[[BUS]:[T2]],11,-1,FALSE),11,FALSE),0)</f>
        <v>0.16944444444444429</v>
      </c>
      <c r="AE69" s="23">
        <f>+VeredaTr127[[#This Row],[∑VeredaTr]]+VeredaTr127[[#This Row],[T2]]</f>
        <v>0.24305555555555536</v>
      </c>
    </row>
    <row r="70" spans="1:31" x14ac:dyDescent="0.35">
      <c r="A70" t="s">
        <v>94</v>
      </c>
      <c r="B70" s="49">
        <v>8</v>
      </c>
      <c r="C70" s="23">
        <v>0.69791666666666652</v>
      </c>
      <c r="D70" s="23">
        <f t="shared" si="27"/>
        <v>9.0277777777777457E-3</v>
      </c>
      <c r="E70" s="23">
        <v>5.5555555555555558E-3</v>
      </c>
      <c r="F70" s="23">
        <f t="shared" si="33"/>
        <v>4.2361111111111106E-2</v>
      </c>
      <c r="G70" s="23">
        <f t="shared" si="55"/>
        <v>0.74027777777777759</v>
      </c>
      <c r="H70" s="23">
        <f t="shared" si="56"/>
        <v>-3.4722222222222099E-3</v>
      </c>
      <c r="I70" s="23"/>
      <c r="J70" s="23">
        <f t="shared" si="57"/>
        <v>0.69444444444444431</v>
      </c>
      <c r="K70" s="30">
        <f>(G70-C70)+TrCeib116[[#This Row],[Tt_tex]]</f>
        <v>4.2361111111111072E-2</v>
      </c>
      <c r="L70" s="30">
        <f>SUMIF(B$4:$B70,TrCeib116[[#This Row],[BUS]],$K$4:K70)</f>
        <v>0.2541666666666666</v>
      </c>
      <c r="M70" s="23">
        <f>_xlfn.IFNA(VLOOKUP(TrCeib116[[#This Row],[BUS]],_xlfn._xlws.SORT(VeredaTr127[[BUS]:[T2]],11,-1,FALSE),11,FALSE),0)</f>
        <v>0.33124999999999982</v>
      </c>
      <c r="N70" s="23">
        <f>+TrCeib116[[#This Row],[∑TrCeib]]+TrCeib116[[#This Row],[T2]]</f>
        <v>0.58541666666666647</v>
      </c>
      <c r="O70" s="23"/>
      <c r="P70"/>
      <c r="Q70"/>
      <c r="R70" t="s">
        <v>63</v>
      </c>
      <c r="S70" s="50">
        <v>4</v>
      </c>
      <c r="T70" s="23">
        <v>0.69930555555555562</v>
      </c>
      <c r="U70" s="23">
        <f t="shared" si="50"/>
        <v>5.5555555555556468E-3</v>
      </c>
      <c r="V70" s="23">
        <v>5.5555555555555558E-3</v>
      </c>
      <c r="W70" s="23">
        <f t="shared" si="37"/>
        <v>3.6805555555555557E-2</v>
      </c>
      <c r="X70" s="23">
        <f t="shared" si="51"/>
        <v>0.73611111111111116</v>
      </c>
      <c r="Y70" s="23">
        <f t="shared" si="52"/>
        <v>0</v>
      </c>
      <c r="Z70" s="23"/>
      <c r="AA70" s="23">
        <f t="shared" si="53"/>
        <v>0.69930555555555562</v>
      </c>
      <c r="AB70" s="30">
        <f t="shared" si="54"/>
        <v>3.6805555555555536E-2</v>
      </c>
      <c r="AC70" s="30">
        <f>SUMIF($S$4:S70,S70,$AB$4:AB70)</f>
        <v>0.11041666666666661</v>
      </c>
      <c r="AD70" s="23">
        <f>_xlfn.IFNA(VLOOKUP(VeredaTr127[[#This Row],[BUS]],_xlfn._xlws.SORT(TrCeib116[[BUS]:[T2]],11,-1,FALSE),11,FALSE),0)</f>
        <v>0.21041666666666656</v>
      </c>
      <c r="AE70" s="23">
        <f>+VeredaTr127[[#This Row],[∑VeredaTr]]+VeredaTr127[[#This Row],[T2]]</f>
        <v>0.32083333333333319</v>
      </c>
    </row>
    <row r="71" spans="1:31" x14ac:dyDescent="0.35">
      <c r="A71" t="s">
        <v>70</v>
      </c>
      <c r="B71" s="51">
        <v>16</v>
      </c>
      <c r="C71" s="23">
        <v>0.70694444444444426</v>
      </c>
      <c r="D71" s="23">
        <f t="shared" si="27"/>
        <v>9.0277777777777457E-3</v>
      </c>
      <c r="E71" s="23">
        <v>5.5555555555555558E-3</v>
      </c>
      <c r="F71" s="23">
        <f t="shared" si="33"/>
        <v>4.2361111111111106E-2</v>
      </c>
      <c r="G71" s="23">
        <f t="shared" si="55"/>
        <v>0.74930555555555534</v>
      </c>
      <c r="H71" s="23">
        <f t="shared" si="56"/>
        <v>-3.4722222222222099E-3</v>
      </c>
      <c r="I71" s="23"/>
      <c r="J71" s="23">
        <f t="shared" si="57"/>
        <v>0.70347222222222205</v>
      </c>
      <c r="K71" s="30">
        <f>(G71-C71)+TrCeib116[[#This Row],[Tt_tex]]</f>
        <v>4.2361111111111072E-2</v>
      </c>
      <c r="L71" s="30">
        <f>SUMIF(B$4:$B71,TrCeib116[[#This Row],[BUS]],$K$4:K71)</f>
        <v>0.20972222222222214</v>
      </c>
      <c r="M71" s="23">
        <f>_xlfn.IFNA(VLOOKUP(TrCeib116[[#This Row],[BUS]],_xlfn._xlws.SORT(VeredaTr127[[BUS]:[T2]],11,-1,FALSE),11,FALSE),0)</f>
        <v>0.29444444444444429</v>
      </c>
      <c r="N71" s="23">
        <f>+TrCeib116[[#This Row],[∑TrCeib]]+TrCeib116[[#This Row],[T2]]</f>
        <v>0.50416666666666643</v>
      </c>
      <c r="O71" s="23"/>
      <c r="P71"/>
      <c r="Q71"/>
      <c r="R71" t="s">
        <v>63</v>
      </c>
      <c r="S71" s="50">
        <v>9</v>
      </c>
      <c r="T71" s="23">
        <v>0.70486111111111116</v>
      </c>
      <c r="U71" s="23">
        <f t="shared" si="50"/>
        <v>5.5555555555555358E-3</v>
      </c>
      <c r="V71" s="23">
        <v>5.5555555555555558E-3</v>
      </c>
      <c r="W71" s="23">
        <f t="shared" si="37"/>
        <v>3.6805555555555557E-2</v>
      </c>
      <c r="X71" s="23">
        <f t="shared" si="51"/>
        <v>0.7416666666666667</v>
      </c>
      <c r="Y71" s="23">
        <f t="shared" si="52"/>
        <v>0</v>
      </c>
      <c r="Z71" s="23"/>
      <c r="AA71" s="23">
        <f t="shared" si="53"/>
        <v>0.70486111111111116</v>
      </c>
      <c r="AB71" s="30">
        <f t="shared" si="54"/>
        <v>3.6805555555555536E-2</v>
      </c>
      <c r="AC71" s="30">
        <f>SUMIF($S$4:S101,S71,$AB$4:AB101)</f>
        <v>0.22083333333333324</v>
      </c>
      <c r="AD71" s="23">
        <f>_xlfn.IFNA(VLOOKUP(VeredaTr127[[#This Row],[BUS]],_xlfn._xlws.SORT(TrCeib116[[BUS]:[T2]],11,-1,FALSE),11,FALSE),0)</f>
        <v>0.21111111111111103</v>
      </c>
      <c r="AE71" s="23">
        <f>+VeredaTr127[[#This Row],[∑VeredaTr]]+VeredaTr127[[#This Row],[T2]]</f>
        <v>0.43194444444444424</v>
      </c>
    </row>
    <row r="72" spans="1:31" x14ac:dyDescent="0.35">
      <c r="B72" s="28">
        <v>3</v>
      </c>
      <c r="C72" s="23">
        <v>0.71597222222222201</v>
      </c>
      <c r="D72" s="23">
        <f t="shared" si="27"/>
        <v>9.0277777777777457E-3</v>
      </c>
      <c r="E72" s="23">
        <v>5.5555555555555558E-3</v>
      </c>
      <c r="F72" s="23">
        <f t="shared" si="33"/>
        <v>4.2361111111111106E-2</v>
      </c>
      <c r="G72" s="23">
        <f t="shared" si="55"/>
        <v>0.75833333333333308</v>
      </c>
      <c r="H72" s="23">
        <f t="shared" si="56"/>
        <v>-3.4722222222222099E-3</v>
      </c>
      <c r="I72" s="23"/>
      <c r="J72" s="23">
        <f t="shared" si="57"/>
        <v>0.7124999999999998</v>
      </c>
      <c r="K72" s="30">
        <f>(G72-C72)+TrCeib116[[#This Row],[Tt_tex]]</f>
        <v>4.2361111111111072E-2</v>
      </c>
      <c r="L72" s="30">
        <f>SUMIF(B$4:$B72,TrCeib116[[#This Row],[BUS]],$K$4:K72)</f>
        <v>0.1694444444444444</v>
      </c>
      <c r="M72" s="23">
        <f>_xlfn.IFNA(VLOOKUP(TrCeib116[[#This Row],[BUS]],_xlfn._xlws.SORT(VeredaTr127[[BUS]:[T2]],11,-1,FALSE),11,FALSE),0)</f>
        <v>0.22083333333333321</v>
      </c>
      <c r="N72" s="23">
        <f>+TrCeib116[[#This Row],[∑TrCeib]]+TrCeib116[[#This Row],[T2]]</f>
        <v>0.39027777777777761</v>
      </c>
      <c r="O72" s="23"/>
      <c r="P72"/>
      <c r="Q72"/>
      <c r="S72" s="49">
        <v>6</v>
      </c>
      <c r="T72" s="23">
        <v>0.7104166666666667</v>
      </c>
      <c r="U72" s="23">
        <f t="shared" ref="U72:U82" si="58">T72-T71</f>
        <v>5.5555555555555358E-3</v>
      </c>
      <c r="V72" s="23">
        <v>5.5555555555555558E-3</v>
      </c>
      <c r="W72" s="23">
        <f t="shared" si="37"/>
        <v>3.6805555555555557E-2</v>
      </c>
      <c r="X72" s="23">
        <f t="shared" ref="X72:X82" si="59">+T72+W72</f>
        <v>0.74722222222222223</v>
      </c>
      <c r="Y72" s="23">
        <f t="shared" ref="Y72:Y82" si="60">+(T71+V72)-T72</f>
        <v>0</v>
      </c>
      <c r="Z72" s="23">
        <v>6.2500000000000888E-3</v>
      </c>
      <c r="AA72" s="23">
        <f t="shared" ref="AA72:AA82" si="61">+T72+Y72</f>
        <v>0.7104166666666667</v>
      </c>
      <c r="AB72" s="30">
        <f t="shared" ref="AB72:AB82" si="62">(X72-T72)</f>
        <v>3.6805555555555536E-2</v>
      </c>
      <c r="AC72" s="30">
        <f>SUMIF($S$4:S72,S72,$AB$4:AB72)</f>
        <v>0.25763888888888875</v>
      </c>
      <c r="AD72" s="23">
        <f>_xlfn.IFNA(VLOOKUP(VeredaTr127[[#This Row],[BUS]],_xlfn._xlws.SORT(TrCeib116[[BUS]:[T2]],11,-1,FALSE),11,FALSE),0)</f>
        <v>0.33749999999999986</v>
      </c>
      <c r="AE72" s="23">
        <f>+VeredaTr127[[#This Row],[∑VeredaTr]]+VeredaTr127[[#This Row],[T2]]</f>
        <v>0.59513888888888866</v>
      </c>
    </row>
    <row r="73" spans="1:31" x14ac:dyDescent="0.35">
      <c r="B73" s="52">
        <v>17</v>
      </c>
      <c r="C73" s="23">
        <v>0.72499999999999998</v>
      </c>
      <c r="D73" s="23">
        <f t="shared" si="27"/>
        <v>9.0277777777779677E-3</v>
      </c>
      <c r="E73" s="23">
        <v>5.5555555555555558E-3</v>
      </c>
      <c r="F73" s="23">
        <f t="shared" si="33"/>
        <v>4.2361111111111106E-2</v>
      </c>
      <c r="G73" s="23">
        <f t="shared" si="55"/>
        <v>0.76736111111111105</v>
      </c>
      <c r="H73" s="23">
        <f t="shared" si="56"/>
        <v>-3.4722222222224319E-3</v>
      </c>
      <c r="I73" s="23"/>
      <c r="J73" s="23">
        <f t="shared" si="57"/>
        <v>0.72152777777777755</v>
      </c>
      <c r="K73" s="30">
        <f>(G73-C73)+TrCeib116[[#This Row],[Tt_tex]]</f>
        <v>4.2361111111111072E-2</v>
      </c>
      <c r="L73" s="30">
        <f>SUMIF(B$4:$B73,TrCeib116[[#This Row],[BUS]],$K$4:K73)</f>
        <v>8.4722222222222143E-2</v>
      </c>
      <c r="M73" s="23">
        <f>_xlfn.IFNA(VLOOKUP(TrCeib116[[#This Row],[BUS]],_xlfn._xlws.SORT(VeredaTr127[[BUS]:[T2]],11,-1,FALSE),11,FALSE),0)</f>
        <v>0.18402777777777768</v>
      </c>
      <c r="N73" s="23">
        <f>+TrCeib116[[#This Row],[∑TrCeib]]+TrCeib116[[#This Row],[T2]]</f>
        <v>0.26874999999999982</v>
      </c>
      <c r="O73" s="23"/>
      <c r="P73" s="40"/>
      <c r="Q73"/>
      <c r="S73" s="51">
        <v>14</v>
      </c>
      <c r="T73" s="23">
        <v>0.71597222222222223</v>
      </c>
      <c r="U73" s="23">
        <f t="shared" si="58"/>
        <v>5.5555555555555358E-3</v>
      </c>
      <c r="V73" s="23">
        <v>5.5555555555555558E-3</v>
      </c>
      <c r="W73" s="23">
        <f t="shared" si="37"/>
        <v>3.6805555555555557E-2</v>
      </c>
      <c r="X73" s="23">
        <f t="shared" si="59"/>
        <v>0.75277777777777777</v>
      </c>
      <c r="Y73" s="23">
        <f t="shared" si="60"/>
        <v>0</v>
      </c>
      <c r="Z73" s="23">
        <v>2.7777777777778789E-3</v>
      </c>
      <c r="AA73" s="23">
        <f t="shared" si="61"/>
        <v>0.71597222222222223</v>
      </c>
      <c r="AB73" s="30">
        <f t="shared" si="62"/>
        <v>3.6805555555555536E-2</v>
      </c>
      <c r="AC73" s="30">
        <f>SUMIF($S$4:S73,S73,$AB$4:AB73)</f>
        <v>0.22083333333333327</v>
      </c>
      <c r="AD73" s="23">
        <f>_xlfn.IFNA(VLOOKUP(VeredaTr127[[#This Row],[BUS]],_xlfn._xlws.SORT(TrCeib116[[BUS]:[T2]],11,-1,FALSE),11,FALSE),0)</f>
        <v>0.29652777777777761</v>
      </c>
      <c r="AE73" s="23">
        <f>+VeredaTr127[[#This Row],[∑VeredaTr]]+VeredaTr127[[#This Row],[T2]]</f>
        <v>0.51736111111111094</v>
      </c>
    </row>
    <row r="74" spans="1:31" x14ac:dyDescent="0.35">
      <c r="B74" s="52">
        <v>18</v>
      </c>
      <c r="C74" s="23">
        <v>0.73055555555555551</v>
      </c>
      <c r="D74" s="23">
        <f t="shared" si="27"/>
        <v>5.5555555555555358E-3</v>
      </c>
      <c r="E74" s="23">
        <v>5.5555555555555558E-3</v>
      </c>
      <c r="F74" s="23">
        <f t="shared" si="33"/>
        <v>4.2361111111111106E-2</v>
      </c>
      <c r="G74" s="23">
        <f t="shared" si="55"/>
        <v>0.77291666666666659</v>
      </c>
      <c r="H74" s="23">
        <f t="shared" si="56"/>
        <v>0</v>
      </c>
      <c r="I74" s="23"/>
      <c r="J74" s="23">
        <f t="shared" si="57"/>
        <v>0.73055555555555551</v>
      </c>
      <c r="K74" s="30">
        <f>(G74-C74)+TrCeib116[[#This Row],[Tt_tex]]</f>
        <v>4.2361111111111072E-2</v>
      </c>
      <c r="L74" s="30">
        <f>SUMIF(B$4:$B74,TrCeib116[[#This Row],[BUS]],$K$4:K74)</f>
        <v>8.4722222222222143E-2</v>
      </c>
      <c r="M74" s="23">
        <f>_xlfn.IFNA(VLOOKUP(TrCeib116[[#This Row],[BUS]],_xlfn._xlws.SORT(VeredaTr127[[BUS]:[T2]],11,-1,FALSE),11,FALSE),0)</f>
        <v>0.14722222222222214</v>
      </c>
      <c r="N74" s="23">
        <f>+TrCeib116[[#This Row],[∑TrCeib]]+TrCeib116[[#This Row],[T2]]</f>
        <v>0.23194444444444429</v>
      </c>
      <c r="O74" s="23"/>
      <c r="P74" s="40"/>
      <c r="Q74"/>
      <c r="S74" s="53">
        <v>19</v>
      </c>
      <c r="T74" s="23">
        <v>0.7222222222222221</v>
      </c>
      <c r="U74" s="23">
        <f t="shared" si="58"/>
        <v>6.2499999999998668E-3</v>
      </c>
      <c r="V74" s="23">
        <v>5.5555555555555558E-3</v>
      </c>
      <c r="W74" s="23">
        <f t="shared" si="37"/>
        <v>3.6805555555555557E-2</v>
      </c>
      <c r="X74" s="23">
        <f t="shared" si="59"/>
        <v>0.75902777777777763</v>
      </c>
      <c r="Y74" s="23">
        <f t="shared" si="60"/>
        <v>-6.9444444444433095E-4</v>
      </c>
      <c r="Z74" s="23"/>
      <c r="AA74" s="23">
        <f t="shared" si="61"/>
        <v>0.72152777777777777</v>
      </c>
      <c r="AB74" s="30">
        <f t="shared" si="62"/>
        <v>3.6805555555555536E-2</v>
      </c>
      <c r="AC74" s="30">
        <f>SUMIF($S$4:S74,S74,$AB$4:AB74)</f>
        <v>7.3611111111111072E-2</v>
      </c>
      <c r="AD74" s="23">
        <f>_xlfn.IFNA(VLOOKUP(VeredaTr127[[#This Row],[BUS]],_xlfn._xlws.SORT(TrCeib116[[BUS]:[T2]],11,-1,FALSE),11,FALSE),0)</f>
        <v>0.16944444444444429</v>
      </c>
      <c r="AE74" s="23">
        <f>+VeredaTr127[[#This Row],[∑VeredaTr]]+VeredaTr127[[#This Row],[T2]]</f>
        <v>0.24305555555555536</v>
      </c>
    </row>
    <row r="75" spans="1:31" x14ac:dyDescent="0.35">
      <c r="B75" s="50">
        <v>4</v>
      </c>
      <c r="C75" s="23">
        <v>0.73611111111111116</v>
      </c>
      <c r="D75" s="23">
        <f t="shared" si="27"/>
        <v>5.5555555555556468E-3</v>
      </c>
      <c r="E75" s="23">
        <v>5.5555555555555558E-3</v>
      </c>
      <c r="F75" s="23">
        <f t="shared" si="33"/>
        <v>4.2361111111111106E-2</v>
      </c>
      <c r="G75" s="23">
        <f t="shared" si="55"/>
        <v>0.77847222222222223</v>
      </c>
      <c r="H75" s="23">
        <f t="shared" si="56"/>
        <v>0</v>
      </c>
      <c r="I75" s="23"/>
      <c r="J75" s="23">
        <f t="shared" si="57"/>
        <v>0.73611111111111116</v>
      </c>
      <c r="K75" s="30">
        <f>(G75-C75)+TrCeib116[[#This Row],[Tt_tex]]</f>
        <v>4.2361111111111072E-2</v>
      </c>
      <c r="L75" s="30">
        <f>SUMIF(B$4:$B75,TrCeib116[[#This Row],[BUS]],$K$4:K75)</f>
        <v>0.12569444444444441</v>
      </c>
      <c r="M75" s="23">
        <f>_xlfn.IFNA(VLOOKUP(TrCeib116[[#This Row],[BUS]],_xlfn._xlws.SORT(VeredaTr127[[BUS]:[T2]],11,-1,FALSE),11,FALSE),0)</f>
        <v>0.18402777777777768</v>
      </c>
      <c r="N75" s="23">
        <f>+TrCeib116[[#This Row],[∑TrCeib]]+TrCeib116[[#This Row],[T2]]</f>
        <v>0.30972222222222212</v>
      </c>
      <c r="P75" s="40"/>
      <c r="S75" s="51">
        <v>15</v>
      </c>
      <c r="T75" s="23">
        <v>0.73124999999999984</v>
      </c>
      <c r="U75" s="23">
        <f t="shared" si="58"/>
        <v>9.0277777777777457E-3</v>
      </c>
      <c r="V75" s="23">
        <v>5.5555555555555558E-3</v>
      </c>
      <c r="W75" s="23">
        <f t="shared" si="37"/>
        <v>3.6805555555555557E-2</v>
      </c>
      <c r="X75" s="23">
        <f t="shared" si="59"/>
        <v>0.76805555555555538</v>
      </c>
      <c r="Y75" s="23">
        <f t="shared" si="60"/>
        <v>-3.4722222222222099E-3</v>
      </c>
      <c r="Z75" s="23"/>
      <c r="AA75" s="23">
        <f t="shared" si="61"/>
        <v>0.72777777777777763</v>
      </c>
      <c r="AB75" s="30">
        <f t="shared" si="62"/>
        <v>3.6805555555555536E-2</v>
      </c>
      <c r="AC75" s="30">
        <f>SUMIF($S$4:S75,S75,$AB$4:AB75)</f>
        <v>0.22083333333333327</v>
      </c>
      <c r="AD75" s="23">
        <f>_xlfn.IFNA(VLOOKUP(VeredaTr127[[#This Row],[BUS]],_xlfn._xlws.SORT(TrCeib116[[BUS]:[T2]],11,-1,FALSE),11,FALSE),0)</f>
        <v>0.29652777777777761</v>
      </c>
      <c r="AE75" s="23">
        <f>+VeredaTr127[[#This Row],[∑VeredaTr]]+VeredaTr127[[#This Row],[T2]]</f>
        <v>0.51736111111111094</v>
      </c>
    </row>
    <row r="76" spans="1:31" x14ac:dyDescent="0.35">
      <c r="B76" s="50">
        <v>9</v>
      </c>
      <c r="C76" s="23">
        <v>0.7416666666666667</v>
      </c>
      <c r="D76" s="23">
        <f t="shared" si="27"/>
        <v>5.5555555555555358E-3</v>
      </c>
      <c r="E76" s="23">
        <v>5.5555555555555558E-3</v>
      </c>
      <c r="F76" s="23">
        <f t="shared" si="33"/>
        <v>4.2361111111111106E-2</v>
      </c>
      <c r="G76" s="23">
        <f t="shared" si="55"/>
        <v>0.78402777777777777</v>
      </c>
      <c r="H76" s="23">
        <f t="shared" si="56"/>
        <v>0</v>
      </c>
      <c r="I76" s="23"/>
      <c r="J76" s="23">
        <f t="shared" si="57"/>
        <v>0.7416666666666667</v>
      </c>
      <c r="K76" s="30">
        <f>(G76-C76)+TrCeib116[[#This Row],[Tt_tex]]</f>
        <v>4.2361111111111072E-2</v>
      </c>
      <c r="L76" s="30">
        <f>SUMIF(B$4:$B98,TrCeib116[[#This Row],[BUS]],$K$4:K98)</f>
        <v>0.21111111111111103</v>
      </c>
      <c r="M76" s="23">
        <f>_xlfn.IFNA(VLOOKUP(TrCeib116[[#This Row],[BUS]],_xlfn._xlws.SORT(VeredaTr127[[BUS]:[T2]],11,-1,FALSE),11,FALSE),0)</f>
        <v>0.22083333333333324</v>
      </c>
      <c r="N76" s="23">
        <f>+TrCeib116[[#This Row],[∑TrCeib]]+TrCeib116[[#This Row],[T2]]</f>
        <v>0.43194444444444424</v>
      </c>
      <c r="P76" s="40"/>
      <c r="S76" s="49">
        <v>8</v>
      </c>
      <c r="T76" s="23">
        <v>0.74027777777777759</v>
      </c>
      <c r="U76" s="23">
        <f t="shared" si="58"/>
        <v>9.0277777777777457E-3</v>
      </c>
      <c r="V76" s="23">
        <v>5.5555555555555558E-3</v>
      </c>
      <c r="W76" s="23">
        <f t="shared" si="37"/>
        <v>3.6805555555555557E-2</v>
      </c>
      <c r="X76" s="23">
        <f t="shared" si="59"/>
        <v>0.77708333333333313</v>
      </c>
      <c r="Y76" s="23">
        <f t="shared" si="60"/>
        <v>-3.4722222222222099E-3</v>
      </c>
      <c r="Z76" s="23"/>
      <c r="AA76" s="23">
        <f t="shared" si="61"/>
        <v>0.73680555555555538</v>
      </c>
      <c r="AB76" s="30">
        <f t="shared" si="62"/>
        <v>3.6805555555555536E-2</v>
      </c>
      <c r="AC76" s="30">
        <f>SUMIF($S$4:S76,S76,$AB$4:AB76)</f>
        <v>0.25763888888888875</v>
      </c>
      <c r="AD76" s="23">
        <f>_xlfn.IFNA(VLOOKUP(VeredaTr127[[#This Row],[BUS]],_xlfn._xlws.SORT(TrCeib116[[BUS]:[T2]],11,-1,FALSE),11,FALSE),0)</f>
        <v>0.33888888888888874</v>
      </c>
      <c r="AE76" s="23">
        <f>+VeredaTr127[[#This Row],[∑VeredaTr]]+VeredaTr127[[#This Row],[T2]]</f>
        <v>0.59652777777777755</v>
      </c>
    </row>
    <row r="77" spans="1:31" x14ac:dyDescent="0.35">
      <c r="B77" s="28">
        <v>6</v>
      </c>
      <c r="C77" s="23">
        <v>0.74722222222222223</v>
      </c>
      <c r="D77" s="23">
        <f t="shared" si="27"/>
        <v>5.5555555555555358E-3</v>
      </c>
      <c r="E77" s="23">
        <v>5.5555555555555558E-3</v>
      </c>
      <c r="F77" s="23">
        <f t="shared" si="33"/>
        <v>4.2361111111111106E-2</v>
      </c>
      <c r="G77" s="23">
        <f t="shared" ref="G77:G87" si="63">C77+F77</f>
        <v>0.7895833333333333</v>
      </c>
      <c r="H77" s="23">
        <f t="shared" ref="H77:H87" si="64">+(C76+E77)-C77</f>
        <v>0</v>
      </c>
      <c r="I77" s="23"/>
      <c r="J77" s="23">
        <f t="shared" ref="J77:J87" si="65">+C77+H77</f>
        <v>0.74722222222222223</v>
      </c>
      <c r="K77" s="30">
        <f>(G77-C77)+TrCeib116[[#This Row],[Tt_tex]]</f>
        <v>4.2361111111111072E-2</v>
      </c>
      <c r="L77" s="30">
        <f>SUMIF(B$4:$B77,TrCeib116[[#This Row],[BUS]],$K$4:K77)</f>
        <v>0.29513888888888878</v>
      </c>
      <c r="M77" s="23">
        <f>_xlfn.IFNA(VLOOKUP(TrCeib116[[#This Row],[BUS]],_xlfn._xlws.SORT(VeredaTr127[[BUS]:[T2]],11,-1,FALSE),11,FALSE),0)</f>
        <v>0.29444444444444429</v>
      </c>
      <c r="N77" s="23">
        <f>+TrCeib116[[#This Row],[∑TrCeib]]+TrCeib116[[#This Row],[T2]]</f>
        <v>0.58958333333333313</v>
      </c>
      <c r="P77" s="40"/>
      <c r="S77" s="51">
        <v>16</v>
      </c>
      <c r="T77" s="23">
        <v>0.74930555555555534</v>
      </c>
      <c r="U77" s="23">
        <f t="shared" si="58"/>
        <v>9.0277777777777457E-3</v>
      </c>
      <c r="V77" s="23">
        <v>5.5555555555555558E-3</v>
      </c>
      <c r="W77" s="23">
        <f t="shared" si="37"/>
        <v>3.6805555555555557E-2</v>
      </c>
      <c r="X77" s="23">
        <f t="shared" si="59"/>
        <v>0.78611111111111087</v>
      </c>
      <c r="Y77" s="23">
        <f t="shared" si="60"/>
        <v>-3.4722222222222099E-3</v>
      </c>
      <c r="Z77" s="23"/>
      <c r="AA77" s="23">
        <f t="shared" si="61"/>
        <v>0.74583333333333313</v>
      </c>
      <c r="AB77" s="30">
        <f t="shared" si="62"/>
        <v>3.6805555555555536E-2</v>
      </c>
      <c r="AC77" s="30">
        <f>SUMIF($S$4:S77,S77,$AB$4:AB77)</f>
        <v>0.22083333333333321</v>
      </c>
      <c r="AD77" s="23">
        <f>_xlfn.IFNA(VLOOKUP(VeredaTr127[[#This Row],[BUS]],_xlfn._xlws.SORT(TrCeib116[[BUS]:[T2]],11,-1,FALSE),11,FALSE),0)</f>
        <v>0.29444444444444429</v>
      </c>
      <c r="AE77" s="23">
        <f>+VeredaTr127[[#This Row],[∑VeredaTr]]+VeredaTr127[[#This Row],[T2]]</f>
        <v>0.5152777777777775</v>
      </c>
    </row>
    <row r="78" spans="1:31" x14ac:dyDescent="0.35">
      <c r="B78" s="28">
        <v>14</v>
      </c>
      <c r="C78" s="23">
        <v>0.75277777777777777</v>
      </c>
      <c r="D78" s="23">
        <f t="shared" si="27"/>
        <v>5.5555555555555358E-3</v>
      </c>
      <c r="E78" s="23">
        <v>5.5555555555555558E-3</v>
      </c>
      <c r="F78" s="23">
        <f t="shared" si="33"/>
        <v>4.2361111111111106E-2</v>
      </c>
      <c r="G78" s="23">
        <f t="shared" si="63"/>
        <v>0.79513888888888884</v>
      </c>
      <c r="H78" s="23">
        <f t="shared" si="64"/>
        <v>0</v>
      </c>
      <c r="I78" s="23"/>
      <c r="J78" s="23">
        <f t="shared" si="65"/>
        <v>0.75277777777777777</v>
      </c>
      <c r="K78" s="30">
        <f>(G78-C78)+TrCeib116[[#This Row],[Tt_tex]]</f>
        <v>4.2361111111111072E-2</v>
      </c>
      <c r="L78" s="30">
        <f>SUMIF(B$4:$B78,TrCeib116[[#This Row],[BUS]],$K$4:K78)</f>
        <v>0.25416666666666654</v>
      </c>
      <c r="M78" s="23">
        <f>_xlfn.IFNA(VLOOKUP(TrCeib116[[#This Row],[BUS]],_xlfn._xlws.SORT(VeredaTr127[[BUS]:[T2]],11,-1,FALSE),11,FALSE),0)</f>
        <v>0.29444444444444434</v>
      </c>
      <c r="N78" s="23">
        <f>+TrCeib116[[#This Row],[∑TrCeib]]+TrCeib116[[#This Row],[T2]]</f>
        <v>0.54861111111111094</v>
      </c>
      <c r="P78" s="40"/>
      <c r="S78" s="28">
        <v>3</v>
      </c>
      <c r="T78" s="23">
        <v>0.75833333333333308</v>
      </c>
      <c r="U78" s="23">
        <f t="shared" si="58"/>
        <v>9.0277777777777457E-3</v>
      </c>
      <c r="V78" s="23">
        <v>5.5555555555555558E-3</v>
      </c>
      <c r="W78" s="23">
        <f t="shared" si="37"/>
        <v>3.6805555555555557E-2</v>
      </c>
      <c r="X78" s="23">
        <f t="shared" si="59"/>
        <v>0.79513888888888862</v>
      </c>
      <c r="Y78" s="23">
        <f t="shared" si="60"/>
        <v>-3.4722222222222099E-3</v>
      </c>
      <c r="Z78" s="23"/>
      <c r="AA78" s="23">
        <f t="shared" si="61"/>
        <v>0.75486111111111087</v>
      </c>
      <c r="AB78" s="30">
        <f t="shared" si="62"/>
        <v>3.6805555555555536E-2</v>
      </c>
      <c r="AC78" s="30">
        <f>SUMIF($S$4:S78,S78,$AB$4:AB78)</f>
        <v>0.14722222222222214</v>
      </c>
      <c r="AD78" s="23">
        <f>_xlfn.IFNA(VLOOKUP(VeredaTr127[[#This Row],[BUS]],_xlfn._xlws.SORT(TrCeib116[[BUS]:[T2]],11,-1,FALSE),11,FALSE),0)</f>
        <v>0.25416666666666654</v>
      </c>
      <c r="AE78" s="23">
        <f>+VeredaTr127[[#This Row],[∑VeredaTr]]+VeredaTr127[[#This Row],[T2]]</f>
        <v>0.40138888888888868</v>
      </c>
    </row>
    <row r="79" spans="1:31" x14ac:dyDescent="0.35">
      <c r="B79" s="28">
        <v>19</v>
      </c>
      <c r="C79" s="23">
        <v>0.75902777777777763</v>
      </c>
      <c r="D79" s="23">
        <f t="shared" si="27"/>
        <v>6.2499999999998668E-3</v>
      </c>
      <c r="E79" s="23">
        <v>5.5555555555555558E-3</v>
      </c>
      <c r="F79" s="23">
        <f t="shared" si="33"/>
        <v>4.2361111111111106E-2</v>
      </c>
      <c r="G79" s="23">
        <f t="shared" si="63"/>
        <v>0.80138888888888871</v>
      </c>
      <c r="H79" s="23">
        <f t="shared" si="64"/>
        <v>-6.9444444444433095E-4</v>
      </c>
      <c r="I79" s="23"/>
      <c r="J79" s="23">
        <f t="shared" si="65"/>
        <v>0.7583333333333333</v>
      </c>
      <c r="K79" s="30">
        <f>(G79-C79)+TrCeib116[[#This Row],[Tt_tex]]</f>
        <v>4.2361111111111072E-2</v>
      </c>
      <c r="L79" s="30">
        <f>SUMIF(B$4:$B79,TrCeib116[[#This Row],[BUS]],$K$4:K79)</f>
        <v>0.12708333333333321</v>
      </c>
      <c r="M79" s="23">
        <f>_xlfn.IFNA(VLOOKUP(TrCeib116[[#This Row],[BUS]],_xlfn._xlws.SORT(VeredaTr127[[BUS]:[T2]],11,-1,FALSE),11,FALSE),0)</f>
        <v>0.14722222222222214</v>
      </c>
      <c r="N79" s="23">
        <f>+TrCeib116[[#This Row],[∑TrCeib]]+TrCeib116[[#This Row],[T2]]</f>
        <v>0.27430555555555536</v>
      </c>
      <c r="P79" s="40"/>
      <c r="S79" s="52">
        <v>17</v>
      </c>
      <c r="T79" s="23">
        <v>0.76736111111111105</v>
      </c>
      <c r="U79" s="23">
        <f t="shared" si="58"/>
        <v>9.0277777777779677E-3</v>
      </c>
      <c r="V79" s="23">
        <v>5.5555555555555558E-3</v>
      </c>
      <c r="W79" s="23">
        <f t="shared" si="37"/>
        <v>3.6805555555555557E-2</v>
      </c>
      <c r="X79" s="23">
        <f t="shared" si="59"/>
        <v>0.80416666666666659</v>
      </c>
      <c r="Y79" s="23">
        <f t="shared" si="60"/>
        <v>-3.4722222222224319E-3</v>
      </c>
      <c r="Z79" s="23"/>
      <c r="AA79" s="23">
        <f t="shared" si="61"/>
        <v>0.76388888888888862</v>
      </c>
      <c r="AB79" s="30">
        <f t="shared" si="62"/>
        <v>3.6805555555555536E-2</v>
      </c>
      <c r="AC79" s="30">
        <f>SUMIF($S$4:S79,S79,$AB$4:AB79)</f>
        <v>0.11041666666666661</v>
      </c>
      <c r="AD79" s="23">
        <f>_xlfn.IFNA(VLOOKUP(VeredaTr127[[#This Row],[BUS]],_xlfn._xlws.SORT(TrCeib116[[BUS]:[T2]],11,-1,FALSE),11,FALSE),0)</f>
        <v>0.16944444444444429</v>
      </c>
      <c r="AE79" s="23">
        <f>+VeredaTr127[[#This Row],[∑VeredaTr]]+VeredaTr127[[#This Row],[T2]]</f>
        <v>0.27986111111111089</v>
      </c>
    </row>
    <row r="80" spans="1:31" x14ac:dyDescent="0.35">
      <c r="B80" s="28">
        <v>15</v>
      </c>
      <c r="C80" s="23">
        <v>0.76805555555555538</v>
      </c>
      <c r="D80" s="23">
        <f t="shared" si="27"/>
        <v>9.0277777777777457E-3</v>
      </c>
      <c r="E80" s="23">
        <v>5.5555555555555558E-3</v>
      </c>
      <c r="F80" s="23">
        <f t="shared" si="33"/>
        <v>4.2361111111111106E-2</v>
      </c>
      <c r="G80" s="23">
        <f t="shared" si="63"/>
        <v>0.81041666666666645</v>
      </c>
      <c r="H80" s="23">
        <f t="shared" si="64"/>
        <v>-3.4722222222222099E-3</v>
      </c>
      <c r="I80" s="23"/>
      <c r="J80" s="23">
        <f t="shared" si="65"/>
        <v>0.76458333333333317</v>
      </c>
      <c r="K80" s="30">
        <f>(G80-C80)+TrCeib116[[#This Row],[Tt_tex]]</f>
        <v>4.2361111111111072E-2</v>
      </c>
      <c r="L80" s="30">
        <f>SUMIF(B$4:$B80,TrCeib116[[#This Row],[BUS]],$K$4:K80)</f>
        <v>0.25416666666666654</v>
      </c>
      <c r="M80" s="23">
        <f>_xlfn.IFNA(VLOOKUP(TrCeib116[[#This Row],[BUS]],_xlfn._xlws.SORT(VeredaTr127[[BUS]:[T2]],11,-1,FALSE),11,FALSE),0)</f>
        <v>0.29444444444444434</v>
      </c>
      <c r="N80" s="23">
        <f>+TrCeib116[[#This Row],[∑TrCeib]]+TrCeib116[[#This Row],[T2]]</f>
        <v>0.54861111111111094</v>
      </c>
      <c r="S80" s="52">
        <v>18</v>
      </c>
      <c r="T80" s="23">
        <v>0.77291666666666659</v>
      </c>
      <c r="U80" s="23">
        <f t="shared" si="58"/>
        <v>5.5555555555555358E-3</v>
      </c>
      <c r="V80" s="23">
        <v>5.5555555555555558E-3</v>
      </c>
      <c r="W80" s="23">
        <f t="shared" si="37"/>
        <v>3.6805555555555557E-2</v>
      </c>
      <c r="X80" s="23">
        <f t="shared" si="59"/>
        <v>0.80972222222222212</v>
      </c>
      <c r="Y80" s="23">
        <f t="shared" si="60"/>
        <v>0</v>
      </c>
      <c r="Z80" s="23"/>
      <c r="AA80" s="23">
        <f t="shared" si="61"/>
        <v>0.77291666666666659</v>
      </c>
      <c r="AB80" s="30">
        <f t="shared" si="62"/>
        <v>3.6805555555555536E-2</v>
      </c>
      <c r="AC80" s="30">
        <f>SUMIF($S$4:S80,S80,$AB$4:AB80)</f>
        <v>0.11041666666666661</v>
      </c>
      <c r="AD80" s="23">
        <f>_xlfn.IFNA(VLOOKUP(VeredaTr127[[#This Row],[BUS]],_xlfn._xlws.SORT(TrCeib116[[BUS]:[T2]],11,-1,FALSE),11,FALSE),0)</f>
        <v>0.16944444444444429</v>
      </c>
      <c r="AE80" s="23">
        <f>+VeredaTr127[[#This Row],[∑VeredaTr]]+VeredaTr127[[#This Row],[T2]]</f>
        <v>0.27986111111111089</v>
      </c>
    </row>
    <row r="81" spans="1:31" x14ac:dyDescent="0.35">
      <c r="B81" s="28">
        <v>8</v>
      </c>
      <c r="C81" s="23">
        <v>0.77708333333333313</v>
      </c>
      <c r="D81" s="23">
        <f t="shared" si="27"/>
        <v>9.0277777777777457E-3</v>
      </c>
      <c r="E81" s="23">
        <v>5.5555555555555558E-3</v>
      </c>
      <c r="F81" s="23">
        <f t="shared" si="33"/>
        <v>4.2361111111111106E-2</v>
      </c>
      <c r="G81" s="23">
        <f t="shared" si="63"/>
        <v>0.8194444444444442</v>
      </c>
      <c r="H81" s="23">
        <f t="shared" si="64"/>
        <v>-3.4722222222222099E-3</v>
      </c>
      <c r="I81" s="23"/>
      <c r="J81" s="23">
        <f t="shared" si="65"/>
        <v>0.77361111111111092</v>
      </c>
      <c r="K81" s="30">
        <f>(G81-C81)+TrCeib116[[#This Row],[Tt_tex]]</f>
        <v>4.2361111111111072E-2</v>
      </c>
      <c r="L81" s="30">
        <f>SUMIF(B$4:$B81,TrCeib116[[#This Row],[BUS]],$K$4:K81)</f>
        <v>0.29652777777777767</v>
      </c>
      <c r="M81" s="23">
        <f>_xlfn.IFNA(VLOOKUP(TrCeib116[[#This Row],[BUS]],_xlfn._xlws.SORT(VeredaTr127[[BUS]:[T2]],11,-1,FALSE),11,FALSE),0)</f>
        <v>0.33124999999999982</v>
      </c>
      <c r="N81" s="23">
        <f>+TrCeib116[[#This Row],[∑TrCeib]]+TrCeib116[[#This Row],[T2]]</f>
        <v>0.62777777777777755</v>
      </c>
      <c r="S81" s="50">
        <v>4</v>
      </c>
      <c r="T81" s="23">
        <v>0.77847222222222223</v>
      </c>
      <c r="U81" s="23">
        <f t="shared" si="58"/>
        <v>5.5555555555556468E-3</v>
      </c>
      <c r="V81" s="23">
        <v>5.5555555555555558E-3</v>
      </c>
      <c r="W81" s="23">
        <f t="shared" si="37"/>
        <v>3.6805555555555557E-2</v>
      </c>
      <c r="X81" s="23">
        <f t="shared" si="59"/>
        <v>0.81527777777777777</v>
      </c>
      <c r="Y81" s="23">
        <f t="shared" si="60"/>
        <v>0</v>
      </c>
      <c r="Z81" s="23"/>
      <c r="AA81" s="23">
        <f t="shared" si="61"/>
        <v>0.77847222222222223</v>
      </c>
      <c r="AB81" s="30">
        <f t="shared" si="62"/>
        <v>3.6805555555555536E-2</v>
      </c>
      <c r="AC81" s="30">
        <f>SUMIF($S$4:S81,S81,$AB$4:AB81)</f>
        <v>0.14722222222222214</v>
      </c>
      <c r="AD81" s="23">
        <f>_xlfn.IFNA(VLOOKUP(VeredaTr127[[#This Row],[BUS]],_xlfn._xlws.SORT(TrCeib116[[BUS]:[T2]],11,-1,FALSE),11,FALSE),0)</f>
        <v>0.21041666666666656</v>
      </c>
      <c r="AE81" s="23">
        <f>+VeredaTr127[[#This Row],[∑VeredaTr]]+VeredaTr127[[#This Row],[T2]]</f>
        <v>0.35763888888888873</v>
      </c>
    </row>
    <row r="82" spans="1:31" x14ac:dyDescent="0.35">
      <c r="B82" s="28">
        <v>16</v>
      </c>
      <c r="C82" s="23">
        <v>0.78611111111111087</v>
      </c>
      <c r="D82" s="23">
        <f t="shared" si="27"/>
        <v>9.0277777777777457E-3</v>
      </c>
      <c r="E82" s="23">
        <v>5.5555555555555558E-3</v>
      </c>
      <c r="F82" s="23">
        <f t="shared" si="33"/>
        <v>4.2361111111111106E-2</v>
      </c>
      <c r="G82" s="23">
        <f t="shared" si="63"/>
        <v>0.82847222222222194</v>
      </c>
      <c r="H82" s="23">
        <f t="shared" si="64"/>
        <v>-3.4722222222222099E-3</v>
      </c>
      <c r="I82" s="23"/>
      <c r="J82" s="23">
        <f t="shared" si="65"/>
        <v>0.78263888888888866</v>
      </c>
      <c r="K82" s="30">
        <f>(G82-C82)+TrCeib116[[#This Row],[Tt_tex]]</f>
        <v>4.2361111111111072E-2</v>
      </c>
      <c r="L82" s="30">
        <f>SUMIF(B$4:$B82,TrCeib116[[#This Row],[BUS]],$K$4:K82)</f>
        <v>0.25208333333333321</v>
      </c>
      <c r="M82" s="23">
        <f>_xlfn.IFNA(VLOOKUP(TrCeib116[[#This Row],[BUS]],_xlfn._xlws.SORT(VeredaTr127[[BUS]:[T2]],11,-1,FALSE),11,FALSE),0)</f>
        <v>0.29444444444444429</v>
      </c>
      <c r="N82" s="23">
        <f>+TrCeib116[[#This Row],[∑TrCeib]]+TrCeib116[[#This Row],[T2]]</f>
        <v>0.5465277777777775</v>
      </c>
      <c r="S82" s="50">
        <v>9</v>
      </c>
      <c r="T82" s="23">
        <v>0.78402777777777777</v>
      </c>
      <c r="U82" s="23">
        <f t="shared" si="58"/>
        <v>5.5555555555555358E-3</v>
      </c>
      <c r="V82" s="23">
        <v>5.5555555555555558E-3</v>
      </c>
      <c r="W82" s="23">
        <f t="shared" si="37"/>
        <v>3.6805555555555557E-2</v>
      </c>
      <c r="X82" s="23">
        <f t="shared" si="59"/>
        <v>0.8208333333333333</v>
      </c>
      <c r="Y82" s="23">
        <f t="shared" si="60"/>
        <v>0</v>
      </c>
      <c r="Z82" s="23"/>
      <c r="AA82" s="23">
        <f t="shared" si="61"/>
        <v>0.78402777777777777</v>
      </c>
      <c r="AB82" s="30">
        <f t="shared" si="62"/>
        <v>3.6805555555555536E-2</v>
      </c>
      <c r="AC82" s="30">
        <f>SUMIF($S$4:S101,S82,$AB$4:AB101)</f>
        <v>0.22083333333333324</v>
      </c>
      <c r="AD82" s="23">
        <f>_xlfn.IFNA(VLOOKUP(VeredaTr127[[#This Row],[BUS]],_xlfn._xlws.SORT(TrCeib116[[BUS]:[T2]],11,-1,FALSE),11,FALSE),0)</f>
        <v>0.21111111111111103</v>
      </c>
      <c r="AE82" s="23">
        <f>+VeredaTr127[[#This Row],[∑VeredaTr]]+VeredaTr127[[#This Row],[T2]]</f>
        <v>0.43194444444444424</v>
      </c>
    </row>
    <row r="83" spans="1:31" x14ac:dyDescent="0.35">
      <c r="B83" s="28">
        <v>3</v>
      </c>
      <c r="C83" s="23">
        <v>0.79513888888888862</v>
      </c>
      <c r="D83" s="23">
        <f t="shared" si="27"/>
        <v>9.0277777777777457E-3</v>
      </c>
      <c r="E83" s="23">
        <v>1.0416666666666666E-2</v>
      </c>
      <c r="F83" s="23">
        <f t="shared" si="33"/>
        <v>4.2361111111111106E-2</v>
      </c>
      <c r="G83" s="23">
        <f t="shared" si="63"/>
        <v>0.83749999999999969</v>
      </c>
      <c r="H83" s="23">
        <f t="shared" si="64"/>
        <v>1.388888888888884E-3</v>
      </c>
      <c r="I83" s="23"/>
      <c r="J83" s="23">
        <f t="shared" si="65"/>
        <v>0.7965277777777775</v>
      </c>
      <c r="K83" s="30">
        <f>(G83-C83)+TrCeib116[[#This Row],[Tt_tex]]</f>
        <v>4.2361111111111072E-2</v>
      </c>
      <c r="L83" s="30">
        <f>SUMIF(B$4:$B83,TrCeib116[[#This Row],[BUS]],$K$4:K83)</f>
        <v>0.21180555555555547</v>
      </c>
      <c r="M83" s="23">
        <f>_xlfn.IFNA(VLOOKUP(TrCeib116[[#This Row],[BUS]],_xlfn._xlws.SORT(VeredaTr127[[BUS]:[T2]],11,-1,FALSE),11,FALSE),0)</f>
        <v>0.22083333333333321</v>
      </c>
      <c r="N83" s="23">
        <f>+TrCeib116[[#This Row],[∑TrCeib]]+TrCeib116[[#This Row],[T2]]</f>
        <v>0.43263888888888868</v>
      </c>
      <c r="S83" s="28">
        <v>6</v>
      </c>
      <c r="T83" s="23">
        <v>0.7895833333333333</v>
      </c>
      <c r="U83" s="23">
        <f t="shared" ref="U83:U90" si="66">T83-T82</f>
        <v>5.5555555555555358E-3</v>
      </c>
      <c r="V83" s="23">
        <v>5.5555555555555558E-3</v>
      </c>
      <c r="W83" s="23">
        <f t="shared" si="37"/>
        <v>3.6805555555555557E-2</v>
      </c>
      <c r="X83" s="23">
        <f t="shared" ref="X83:X90" si="67">+T83+W83</f>
        <v>0.82638888888888884</v>
      </c>
      <c r="Y83" s="23">
        <f t="shared" ref="Y83:Y90" si="68">+(T82+V83)-T83</f>
        <v>0</v>
      </c>
      <c r="Z83" s="23"/>
      <c r="AA83" s="23">
        <f t="shared" ref="AA83:AA91" si="69">+T83+Y83</f>
        <v>0.7895833333333333</v>
      </c>
      <c r="AB83" s="30">
        <f t="shared" ref="AB83:AB91" si="70">(X83-T83)</f>
        <v>3.6805555555555536E-2</v>
      </c>
      <c r="AC83" s="30">
        <f>SUMIF($S$4:S83,S83,$AB$4:AB83)</f>
        <v>0.29444444444444429</v>
      </c>
      <c r="AD83" s="23">
        <f>_xlfn.IFNA(VLOOKUP(VeredaTr127[[#This Row],[BUS]],_xlfn._xlws.SORT(TrCeib116[[BUS]:[T2]],11,-1,FALSE),11,FALSE),0)</f>
        <v>0.33749999999999986</v>
      </c>
      <c r="AE83" s="23">
        <f>+VeredaTr127[[#This Row],[∑VeredaTr]]+VeredaTr127[[#This Row],[T2]]</f>
        <v>0.6319444444444442</v>
      </c>
    </row>
    <row r="84" spans="1:31" x14ac:dyDescent="0.35">
      <c r="B84" s="28">
        <v>17</v>
      </c>
      <c r="C84" s="23">
        <v>0.80416666666666659</v>
      </c>
      <c r="D84" s="23">
        <f t="shared" si="27"/>
        <v>9.0277777777779677E-3</v>
      </c>
      <c r="E84" s="23">
        <v>1.0416666666666666E-2</v>
      </c>
      <c r="F84" s="23">
        <f t="shared" si="33"/>
        <v>4.2361111111111106E-2</v>
      </c>
      <c r="G84" s="23">
        <f t="shared" si="63"/>
        <v>0.84652777777777766</v>
      </c>
      <c r="H84" s="23">
        <f t="shared" si="64"/>
        <v>1.3888888888886619E-3</v>
      </c>
      <c r="I84" s="23"/>
      <c r="J84" s="23">
        <f t="shared" si="65"/>
        <v>0.80555555555555525</v>
      </c>
      <c r="K84" s="30">
        <f>(G84-C84)+TrCeib116[[#This Row],[Tt_tex]]</f>
        <v>4.2361111111111072E-2</v>
      </c>
      <c r="L84" s="30">
        <f>SUMIF(B$4:$B84,TrCeib116[[#This Row],[BUS]],$K$4:K84)</f>
        <v>0.12708333333333321</v>
      </c>
      <c r="M84" s="23">
        <f>_xlfn.IFNA(VLOOKUP(TrCeib116[[#This Row],[BUS]],_xlfn._xlws.SORT(VeredaTr127[[BUS]:[T2]],11,-1,FALSE),11,FALSE),0)</f>
        <v>0.18402777777777768</v>
      </c>
      <c r="N84" s="23">
        <f>+TrCeib116[[#This Row],[∑TrCeib]]+TrCeib116[[#This Row],[T2]]</f>
        <v>0.31111111111111089</v>
      </c>
      <c r="P84" s="40"/>
      <c r="S84" s="28">
        <v>14</v>
      </c>
      <c r="T84" s="23">
        <v>0.79861111111111105</v>
      </c>
      <c r="U84" s="23">
        <f t="shared" si="66"/>
        <v>9.0277777777777457E-3</v>
      </c>
      <c r="V84" s="23">
        <v>9.0277777777777787E-3</v>
      </c>
      <c r="W84" s="23">
        <f t="shared" si="37"/>
        <v>3.6805555555555557E-2</v>
      </c>
      <c r="X84" s="23">
        <f t="shared" si="67"/>
        <v>0.83541666666666659</v>
      </c>
      <c r="Y84" s="23">
        <f t="shared" si="68"/>
        <v>0</v>
      </c>
      <c r="Z84" s="23">
        <v>3.4722222222222099E-3</v>
      </c>
      <c r="AA84" s="23">
        <f t="shared" si="69"/>
        <v>0.79861111111111105</v>
      </c>
      <c r="AB84" s="30">
        <f t="shared" si="70"/>
        <v>3.6805555555555536E-2</v>
      </c>
      <c r="AC84" s="30">
        <f>SUMIF($S$4:S84,S84,$AB$4:AB84)</f>
        <v>0.25763888888888881</v>
      </c>
      <c r="AD84" s="23">
        <f>_xlfn.IFNA(VLOOKUP(VeredaTr127[[#This Row],[BUS]],_xlfn._xlws.SORT(TrCeib116[[BUS]:[T2]],11,-1,FALSE),11,FALSE),0)</f>
        <v>0.29652777777777761</v>
      </c>
      <c r="AE84" s="23">
        <f>+VeredaTr127[[#This Row],[∑VeredaTr]]+VeredaTr127[[#This Row],[T2]]</f>
        <v>0.55416666666666647</v>
      </c>
    </row>
    <row r="85" spans="1:31" x14ac:dyDescent="0.35">
      <c r="A85" t="s">
        <v>70</v>
      </c>
      <c r="B85" s="28">
        <v>18</v>
      </c>
      <c r="C85" s="23">
        <v>0.80972222222222212</v>
      </c>
      <c r="D85" s="23">
        <f t="shared" si="27"/>
        <v>5.5555555555555358E-3</v>
      </c>
      <c r="E85" s="23">
        <v>1.0416666666666666E-2</v>
      </c>
      <c r="F85" s="23">
        <f t="shared" si="33"/>
        <v>4.2361111111111106E-2</v>
      </c>
      <c r="G85" s="23">
        <f t="shared" si="63"/>
        <v>0.85208333333333319</v>
      </c>
      <c r="H85" s="23">
        <f t="shared" si="64"/>
        <v>4.8611111111110938E-3</v>
      </c>
      <c r="I85" s="23"/>
      <c r="J85" s="23">
        <f t="shared" si="65"/>
        <v>0.81458333333333321</v>
      </c>
      <c r="K85" s="30">
        <f>(G85-C85)+TrCeib116[[#This Row],[Tt_tex]]</f>
        <v>4.2361111111111072E-2</v>
      </c>
      <c r="L85" s="30">
        <f>SUMIF(B$4:$B85,TrCeib116[[#This Row],[BUS]],$K$4:K85)</f>
        <v>0.12708333333333321</v>
      </c>
      <c r="M85" s="23">
        <f>_xlfn.IFNA(VLOOKUP(TrCeib116[[#This Row],[BUS]],_xlfn._xlws.SORT(VeredaTr127[[BUS]:[T2]],11,-1,FALSE),11,FALSE),0)</f>
        <v>0.14722222222222214</v>
      </c>
      <c r="N85" s="23">
        <f>+TrCeib116[[#This Row],[∑TrCeib]]+TrCeib116[[#This Row],[T2]]</f>
        <v>0.27430555555555536</v>
      </c>
      <c r="P85" s="40"/>
      <c r="S85" s="28">
        <v>19</v>
      </c>
      <c r="T85" s="23">
        <v>0.8076388888888888</v>
      </c>
      <c r="U85" s="23">
        <f t="shared" si="66"/>
        <v>9.0277777777777457E-3</v>
      </c>
      <c r="V85" s="23">
        <v>9.0277777777777787E-3</v>
      </c>
      <c r="W85" s="23">
        <f t="shared" si="37"/>
        <v>3.6805555555555557E-2</v>
      </c>
      <c r="X85" s="23">
        <f t="shared" si="67"/>
        <v>0.84444444444444433</v>
      </c>
      <c r="Y85" s="23">
        <f t="shared" si="68"/>
        <v>0</v>
      </c>
      <c r="Z85" s="23">
        <v>6.2500000000000888E-3</v>
      </c>
      <c r="AA85" s="23">
        <f t="shared" si="69"/>
        <v>0.8076388888888888</v>
      </c>
      <c r="AB85" s="30">
        <f t="shared" si="70"/>
        <v>3.6805555555555536E-2</v>
      </c>
      <c r="AC85" s="30">
        <f>SUMIF($S$4:S85,S85,$AB$4:AB85)</f>
        <v>0.11041666666666661</v>
      </c>
      <c r="AD85" s="23">
        <f>_xlfn.IFNA(VLOOKUP(VeredaTr127[[#This Row],[BUS]],_xlfn._xlws.SORT(TrCeib116[[BUS]:[T2]],11,-1,FALSE),11,FALSE),0)</f>
        <v>0.16944444444444429</v>
      </c>
      <c r="AE85" s="23">
        <f>+VeredaTr127[[#This Row],[∑VeredaTr]]+VeredaTr127[[#This Row],[T2]]</f>
        <v>0.27986111111111089</v>
      </c>
    </row>
    <row r="86" spans="1:31" x14ac:dyDescent="0.35">
      <c r="A86" t="s">
        <v>70</v>
      </c>
      <c r="B86" s="28">
        <v>4</v>
      </c>
      <c r="C86" s="23">
        <v>0.81527777777777777</v>
      </c>
      <c r="D86" s="23">
        <f t="shared" si="27"/>
        <v>5.5555555555556468E-3</v>
      </c>
      <c r="E86" s="23">
        <v>1.0416666666666666E-2</v>
      </c>
      <c r="F86" s="23">
        <f t="shared" si="33"/>
        <v>4.2361111111111106E-2</v>
      </c>
      <c r="G86" s="23">
        <f t="shared" si="63"/>
        <v>0.85763888888888884</v>
      </c>
      <c r="H86" s="23">
        <f t="shared" si="64"/>
        <v>4.8611111111109828E-3</v>
      </c>
      <c r="I86" s="23"/>
      <c r="J86" s="23">
        <f t="shared" si="65"/>
        <v>0.82013888888888875</v>
      </c>
      <c r="K86" s="30">
        <f>(G86-C86)+TrCeib116[[#This Row],[Tt_tex]]</f>
        <v>4.2361111111111072E-2</v>
      </c>
      <c r="L86" s="30">
        <f>SUMIF(B$4:$B86,TrCeib116[[#This Row],[BUS]],$K$4:K86)</f>
        <v>0.16805555555555549</v>
      </c>
      <c r="M86" s="23">
        <f>_xlfn.IFNA(VLOOKUP(TrCeib116[[#This Row],[BUS]],_xlfn._xlws.SORT(VeredaTr127[[BUS]:[T2]],11,-1,FALSE),11,FALSE),0)</f>
        <v>0.18402777777777768</v>
      </c>
      <c r="N86" s="23">
        <f>+TrCeib116[[#This Row],[∑TrCeib]]+TrCeib116[[#This Row],[T2]]</f>
        <v>0.35208333333333319</v>
      </c>
      <c r="P86" s="40"/>
      <c r="S86" s="28">
        <v>15</v>
      </c>
      <c r="T86" s="23">
        <v>0.81666666666666654</v>
      </c>
      <c r="U86" s="23">
        <f t="shared" si="66"/>
        <v>9.0277777777777457E-3</v>
      </c>
      <c r="V86" s="23">
        <v>9.0277777777777787E-3</v>
      </c>
      <c r="W86" s="23">
        <f t="shared" si="37"/>
        <v>3.6805555555555557E-2</v>
      </c>
      <c r="X86" s="23">
        <f t="shared" si="67"/>
        <v>0.85347222222222208</v>
      </c>
      <c r="Y86" s="23">
        <f t="shared" si="68"/>
        <v>0</v>
      </c>
      <c r="Z86" s="23">
        <v>6.2500000000000888E-3</v>
      </c>
      <c r="AA86" s="23">
        <f t="shared" si="69"/>
        <v>0.81666666666666654</v>
      </c>
      <c r="AB86" s="30">
        <f t="shared" si="70"/>
        <v>3.6805555555555536E-2</v>
      </c>
      <c r="AC86" s="30">
        <f>SUMIF($S$4:S86,S86,$AB$4:AB86)</f>
        <v>0.25763888888888881</v>
      </c>
      <c r="AD86" s="23">
        <f>_xlfn.IFNA(VLOOKUP(VeredaTr127[[#This Row],[BUS]],_xlfn._xlws.SORT(TrCeib116[[BUS]:[T2]],11,-1,FALSE),11,FALSE),0)</f>
        <v>0.29652777777777761</v>
      </c>
      <c r="AE86" s="23">
        <f>+VeredaTr127[[#This Row],[∑VeredaTr]]+VeredaTr127[[#This Row],[T2]]</f>
        <v>0.55416666666666647</v>
      </c>
    </row>
    <row r="87" spans="1:31" x14ac:dyDescent="0.35">
      <c r="B87" s="28">
        <v>9</v>
      </c>
      <c r="C87" s="23">
        <v>0.8208333333333333</v>
      </c>
      <c r="D87" s="23">
        <f t="shared" si="27"/>
        <v>5.5555555555555358E-3</v>
      </c>
      <c r="E87" s="23">
        <v>1.0416666666666666E-2</v>
      </c>
      <c r="F87" s="23">
        <f t="shared" si="33"/>
        <v>4.2361111111111106E-2</v>
      </c>
      <c r="G87" s="23">
        <f t="shared" si="63"/>
        <v>0.86319444444444438</v>
      </c>
      <c r="H87" s="23">
        <f t="shared" si="64"/>
        <v>4.8611111111110938E-3</v>
      </c>
      <c r="I87" s="23"/>
      <c r="J87" s="23">
        <f t="shared" si="65"/>
        <v>0.8256944444444444</v>
      </c>
      <c r="K87" s="30">
        <f>(G87-C87)+TrCeib116[[#This Row],[Tt_tex]]</f>
        <v>4.2361111111111072E-2</v>
      </c>
      <c r="L87" s="30">
        <f>SUMIF(B$4:$B98,TrCeib116[[#This Row],[BUS]],$K$4:K98)</f>
        <v>0.21111111111111103</v>
      </c>
      <c r="M87" s="23">
        <f>_xlfn.IFNA(VLOOKUP(TrCeib116[[#This Row],[BUS]],_xlfn._xlws.SORT(VeredaTr127[[BUS]:[T2]],11,-1,FALSE),11,FALSE),0)</f>
        <v>0.22083333333333324</v>
      </c>
      <c r="N87" s="23">
        <f>+TrCeib116[[#This Row],[∑TrCeib]]+TrCeib116[[#This Row],[T2]]</f>
        <v>0.43194444444444424</v>
      </c>
      <c r="P87" s="40"/>
      <c r="S87" s="28">
        <v>8</v>
      </c>
      <c r="T87" s="23">
        <v>0.82569444444444429</v>
      </c>
      <c r="U87" s="23">
        <f t="shared" si="66"/>
        <v>9.0277777777777457E-3</v>
      </c>
      <c r="V87" s="23">
        <v>9.0277777777777787E-3</v>
      </c>
      <c r="W87" s="23">
        <f t="shared" si="37"/>
        <v>3.6805555555555557E-2</v>
      </c>
      <c r="X87" s="23">
        <f t="shared" si="67"/>
        <v>0.86249999999999982</v>
      </c>
      <c r="Y87" s="23">
        <f t="shared" si="68"/>
        <v>0</v>
      </c>
      <c r="Z87" s="23">
        <v>6.2500000000000888E-3</v>
      </c>
      <c r="AA87" s="23">
        <f t="shared" si="69"/>
        <v>0.82569444444444429</v>
      </c>
      <c r="AB87" s="30">
        <f t="shared" si="70"/>
        <v>3.6805555555555536E-2</v>
      </c>
      <c r="AC87" s="30">
        <f>SUMIF($S$4:S87,S87,$AB$4:AB87)</f>
        <v>0.29444444444444429</v>
      </c>
      <c r="AD87" s="23">
        <f>_xlfn.IFNA(VLOOKUP(VeredaTr127[[#This Row],[BUS]],_xlfn._xlws.SORT(TrCeib116[[BUS]:[T2]],11,-1,FALSE),11,FALSE),0)</f>
        <v>0.33888888888888874</v>
      </c>
      <c r="AE87" s="23">
        <f>+VeredaTr127[[#This Row],[∑VeredaTr]]+VeredaTr127[[#This Row],[T2]]</f>
        <v>0.63333333333333308</v>
      </c>
    </row>
    <row r="88" spans="1:31" x14ac:dyDescent="0.35">
      <c r="A88" t="s">
        <v>70</v>
      </c>
      <c r="B88" s="28">
        <v>6</v>
      </c>
      <c r="C88" s="23">
        <v>0.82638888888888884</v>
      </c>
      <c r="D88" s="23">
        <f t="shared" si="27"/>
        <v>5.5555555555555358E-3</v>
      </c>
      <c r="E88" s="23">
        <v>1.0416666666666666E-2</v>
      </c>
      <c r="F88" s="23">
        <f t="shared" si="33"/>
        <v>4.2361111111111106E-2</v>
      </c>
      <c r="G88" s="23">
        <f t="shared" ref="G88:G98" si="71">C88+F88</f>
        <v>0.86874999999999991</v>
      </c>
      <c r="H88" s="23">
        <f t="shared" ref="H88:H98" si="72">+(C87+E88)-C88</f>
        <v>4.8611111111110938E-3</v>
      </c>
      <c r="I88" s="23"/>
      <c r="J88" s="23">
        <f t="shared" ref="J88:J98" si="73">+C88+H88</f>
        <v>0.83124999999999993</v>
      </c>
      <c r="K88" s="30">
        <f>(G88-C88)+TrCeib116[[#This Row],[Tt_tex]]</f>
        <v>4.2361111111111072E-2</v>
      </c>
      <c r="L88" s="30">
        <f>SUMIF(B$4:$B88,TrCeib116[[#This Row],[BUS]],$K$4:K88)</f>
        <v>0.33749999999999986</v>
      </c>
      <c r="M88" s="23">
        <f>_xlfn.IFNA(VLOOKUP(TrCeib116[[#This Row],[BUS]],_xlfn._xlws.SORT(VeredaTr127[[BUS]:[T2]],11,-1,FALSE),11,FALSE),0)</f>
        <v>0.29444444444444429</v>
      </c>
      <c r="N88" s="23">
        <f>+TrCeib116[[#This Row],[∑TrCeib]]+TrCeib116[[#This Row],[T2]]</f>
        <v>0.6319444444444442</v>
      </c>
      <c r="P88" s="40"/>
      <c r="S88" s="28">
        <v>16</v>
      </c>
      <c r="T88" s="23">
        <v>0.83472222222222203</v>
      </c>
      <c r="U88" s="23">
        <f t="shared" si="66"/>
        <v>9.0277777777777457E-3</v>
      </c>
      <c r="V88" s="23">
        <v>9.0277777777777787E-3</v>
      </c>
      <c r="W88" s="23">
        <f t="shared" si="37"/>
        <v>3.6805555555555557E-2</v>
      </c>
      <c r="X88" s="23">
        <f t="shared" si="67"/>
        <v>0.87152777777777757</v>
      </c>
      <c r="Y88" s="23">
        <f t="shared" si="68"/>
        <v>0</v>
      </c>
      <c r="Z88" s="23">
        <v>6.2500000000000888E-3</v>
      </c>
      <c r="AA88" s="23">
        <f t="shared" si="69"/>
        <v>0.83472222222222203</v>
      </c>
      <c r="AB88" s="30">
        <f t="shared" si="70"/>
        <v>3.6805555555555536E-2</v>
      </c>
      <c r="AC88" s="30">
        <f>SUMIF($S$4:S88,S88,$AB$4:AB88)</f>
        <v>0.25763888888888875</v>
      </c>
      <c r="AD88" s="23">
        <f>_xlfn.IFNA(VLOOKUP(VeredaTr127[[#This Row],[BUS]],_xlfn._xlws.SORT(TrCeib116[[BUS]:[T2]],11,-1,FALSE),11,FALSE),0)</f>
        <v>0.29444444444444429</v>
      </c>
      <c r="AE88" s="23">
        <f>+VeredaTr127[[#This Row],[∑VeredaTr]]+VeredaTr127[[#This Row],[T2]]</f>
        <v>0.55208333333333304</v>
      </c>
    </row>
    <row r="89" spans="1:31" x14ac:dyDescent="0.35">
      <c r="A89" t="s">
        <v>70</v>
      </c>
      <c r="B89" s="28">
        <v>14</v>
      </c>
      <c r="C89" s="23">
        <v>0.83541666666666659</v>
      </c>
      <c r="D89" s="23">
        <f t="shared" si="27"/>
        <v>9.0277777777777457E-3</v>
      </c>
      <c r="E89" s="23">
        <v>1.0416666666666666E-2</v>
      </c>
      <c r="F89" s="23">
        <f t="shared" si="33"/>
        <v>4.2361111111111106E-2</v>
      </c>
      <c r="G89" s="23">
        <f t="shared" si="71"/>
        <v>0.87777777777777766</v>
      </c>
      <c r="H89" s="23">
        <f t="shared" si="72"/>
        <v>1.388888888888884E-3</v>
      </c>
      <c r="I89" s="23"/>
      <c r="J89" s="23">
        <f t="shared" si="73"/>
        <v>0.83680555555555547</v>
      </c>
      <c r="K89" s="30">
        <f>(G89-C89)+TrCeib116[[#This Row],[Tt_tex]]</f>
        <v>4.2361111111111072E-2</v>
      </c>
      <c r="L89" s="30">
        <f>SUMIF(B$4:$B89,TrCeib116[[#This Row],[BUS]],$K$4:K89)</f>
        <v>0.29652777777777761</v>
      </c>
      <c r="M89" s="23">
        <f>_xlfn.IFNA(VLOOKUP(TrCeib116[[#This Row],[BUS]],_xlfn._xlws.SORT(VeredaTr127[[BUS]:[T2]],11,-1,FALSE),11,FALSE),0)</f>
        <v>0.29444444444444434</v>
      </c>
      <c r="N89" s="23">
        <f>+TrCeib116[[#This Row],[∑TrCeib]]+TrCeib116[[#This Row],[T2]]</f>
        <v>0.59097222222222201</v>
      </c>
      <c r="P89" s="40"/>
      <c r="S89" s="28">
        <v>3</v>
      </c>
      <c r="T89" s="23">
        <v>0.84374999999999978</v>
      </c>
      <c r="U89" s="23">
        <f t="shared" si="66"/>
        <v>9.0277777777777457E-3</v>
      </c>
      <c r="V89" s="23">
        <v>9.0277777777777787E-3</v>
      </c>
      <c r="W89" s="23">
        <f t="shared" si="37"/>
        <v>3.6805555555555557E-2</v>
      </c>
      <c r="X89" s="23">
        <f t="shared" si="67"/>
        <v>0.88055555555555531</v>
      </c>
      <c r="Y89" s="23">
        <f t="shared" si="68"/>
        <v>0</v>
      </c>
      <c r="Z89" s="23">
        <v>6.2500000000000888E-3</v>
      </c>
      <c r="AA89" s="23">
        <f t="shared" si="69"/>
        <v>0.84374999999999978</v>
      </c>
      <c r="AB89" s="30">
        <f t="shared" si="70"/>
        <v>3.6805555555555536E-2</v>
      </c>
      <c r="AC89" s="30">
        <f>SUMIF($S$4:S89,S89,$AB$4:AB89)</f>
        <v>0.18402777777777768</v>
      </c>
      <c r="AD89" s="23">
        <f>_xlfn.IFNA(VLOOKUP(VeredaTr127[[#This Row],[BUS]],_xlfn._xlws.SORT(TrCeib116[[BUS]:[T2]],11,-1,FALSE),11,FALSE),0)</f>
        <v>0.25416666666666654</v>
      </c>
      <c r="AE89" s="23">
        <f>+VeredaTr127[[#This Row],[∑VeredaTr]]+VeredaTr127[[#This Row],[T2]]</f>
        <v>0.43819444444444422</v>
      </c>
    </row>
    <row r="90" spans="1:31" x14ac:dyDescent="0.35">
      <c r="B90" s="28">
        <v>19</v>
      </c>
      <c r="C90" s="23">
        <v>0.84444444444444433</v>
      </c>
      <c r="D90" s="23">
        <f t="shared" si="27"/>
        <v>9.0277777777777457E-3</v>
      </c>
      <c r="E90" s="23">
        <v>1.0416666666666666E-2</v>
      </c>
      <c r="F90" s="23">
        <f t="shared" si="33"/>
        <v>4.2361111111111106E-2</v>
      </c>
      <c r="G90" s="23">
        <f t="shared" si="71"/>
        <v>0.8868055555555554</v>
      </c>
      <c r="H90" s="23">
        <f t="shared" si="72"/>
        <v>1.388888888888884E-3</v>
      </c>
      <c r="I90" s="23"/>
      <c r="J90" s="23">
        <f t="shared" si="73"/>
        <v>0.84583333333333321</v>
      </c>
      <c r="K90" s="30">
        <f>(G90-C90)+TrCeib116[[#This Row],[Tt_tex]]</f>
        <v>4.2361111111111072E-2</v>
      </c>
      <c r="L90" s="30">
        <f>SUMIF(B$4:$B90,TrCeib116[[#This Row],[BUS]],$K$4:K90)</f>
        <v>0.16944444444444429</v>
      </c>
      <c r="M90" s="23">
        <f>_xlfn.IFNA(VLOOKUP(TrCeib116[[#This Row],[BUS]],_xlfn._xlws.SORT(VeredaTr127[[BUS]:[T2]],11,-1,FALSE),11,FALSE),0)</f>
        <v>0.14722222222222214</v>
      </c>
      <c r="N90" s="23">
        <f>+TrCeib116[[#This Row],[∑TrCeib]]+TrCeib116[[#This Row],[T2]]</f>
        <v>0.31666666666666643</v>
      </c>
      <c r="S90" s="28">
        <v>17</v>
      </c>
      <c r="T90" s="23">
        <v>0.85277777777777752</v>
      </c>
      <c r="U90" s="23">
        <f t="shared" si="66"/>
        <v>9.0277777777777457E-3</v>
      </c>
      <c r="V90" s="23">
        <v>9.0277777777777787E-3</v>
      </c>
      <c r="W90" s="23">
        <f t="shared" si="37"/>
        <v>3.6805555555555557E-2</v>
      </c>
      <c r="X90" s="23">
        <f t="shared" si="67"/>
        <v>0.88958333333333306</v>
      </c>
      <c r="Y90" s="23">
        <f t="shared" si="68"/>
        <v>0</v>
      </c>
      <c r="Z90" s="23">
        <v>6.2499999999998668E-3</v>
      </c>
      <c r="AA90" s="23">
        <f t="shared" si="69"/>
        <v>0.85277777777777752</v>
      </c>
      <c r="AB90" s="30">
        <f t="shared" si="70"/>
        <v>3.6805555555555536E-2</v>
      </c>
      <c r="AC90" s="30">
        <f>SUMIF($S$4:S90,S90,$AB$4:AB90)</f>
        <v>0.14722222222222214</v>
      </c>
      <c r="AD90" s="23">
        <f>_xlfn.IFNA(VLOOKUP(VeredaTr127[[#This Row],[BUS]],_xlfn._xlws.SORT(TrCeib116[[BUS]:[T2]],11,-1,FALSE),11,FALSE),0)</f>
        <v>0.16944444444444429</v>
      </c>
      <c r="AE90" s="23">
        <f>+VeredaTr127[[#This Row],[∑VeredaTr]]+VeredaTr127[[#This Row],[T2]]</f>
        <v>0.31666666666666643</v>
      </c>
    </row>
    <row r="91" spans="1:31" x14ac:dyDescent="0.35">
      <c r="B91" s="28">
        <v>15</v>
      </c>
      <c r="C91" s="23">
        <v>0.85347222222222208</v>
      </c>
      <c r="D91" s="23">
        <f t="shared" si="27"/>
        <v>9.0277777777777457E-3</v>
      </c>
      <c r="E91" s="23">
        <v>1.0416666666666666E-2</v>
      </c>
      <c r="F91" s="23">
        <f t="shared" si="33"/>
        <v>4.2361111111111106E-2</v>
      </c>
      <c r="G91" s="23">
        <f t="shared" si="71"/>
        <v>0.89583333333333315</v>
      </c>
      <c r="H91" s="23">
        <f t="shared" si="72"/>
        <v>1.388888888888884E-3</v>
      </c>
      <c r="I91" s="23"/>
      <c r="J91" s="23">
        <f t="shared" si="73"/>
        <v>0.85486111111111096</v>
      </c>
      <c r="K91" s="30">
        <f>(G91-C91)+TrCeib116[[#This Row],[Tt_tex]]</f>
        <v>4.2361111111111072E-2</v>
      </c>
      <c r="L91" s="30">
        <f>SUMIF(B$4:$B91,TrCeib116[[#This Row],[BUS]],$K$4:K91)</f>
        <v>0.29652777777777761</v>
      </c>
      <c r="M91" s="23">
        <f>_xlfn.IFNA(VLOOKUP(TrCeib116[[#This Row],[BUS]],_xlfn._xlws.SORT(VeredaTr127[[BUS]:[T2]],11,-1,FALSE),11,FALSE),0)</f>
        <v>0.29444444444444434</v>
      </c>
      <c r="N91" s="23">
        <f>+TrCeib116[[#This Row],[∑TrCeib]]+TrCeib116[[#This Row],[T2]]</f>
        <v>0.59097222222222201</v>
      </c>
      <c r="P91" s="40"/>
      <c r="S91" s="28">
        <v>9</v>
      </c>
      <c r="T91" s="23">
        <v>0.86319444444444438</v>
      </c>
      <c r="U91" s="23">
        <f t="shared" ref="U91" si="74">T91-T90</f>
        <v>1.0416666666666852E-2</v>
      </c>
      <c r="V91" s="23">
        <v>9.0277777777777787E-3</v>
      </c>
      <c r="W91" s="23">
        <f t="shared" si="37"/>
        <v>3.6805555555555557E-2</v>
      </c>
      <c r="X91" s="23">
        <f t="shared" ref="X91" si="75">+T91+W91</f>
        <v>0.89999999999999991</v>
      </c>
      <c r="Y91" s="23">
        <f t="shared" ref="Y91" si="76">+(T90+V91)-T91</f>
        <v>-1.388888888889106E-3</v>
      </c>
      <c r="Z91" s="23"/>
      <c r="AA91" s="23">
        <f t="shared" si="69"/>
        <v>0.86180555555555527</v>
      </c>
      <c r="AB91" s="30">
        <f t="shared" si="70"/>
        <v>3.6805555555555536E-2</v>
      </c>
      <c r="AC91" s="30">
        <f>SUMIF($S$4:S101,S91,$AB$4:AB101)</f>
        <v>0.22083333333333324</v>
      </c>
      <c r="AD91" s="23">
        <f>_xlfn.IFNA(VLOOKUP(VeredaTr127[[#This Row],[BUS]],_xlfn._xlws.SORT(TrCeib116[[BUS]:[T2]],11,-1,FALSE),11,FALSE),0)</f>
        <v>0.21111111111111103</v>
      </c>
      <c r="AE91" s="23">
        <f>+VeredaTr127[[#This Row],[∑VeredaTr]]+VeredaTr127[[#This Row],[T2]]</f>
        <v>0.43194444444444424</v>
      </c>
    </row>
    <row r="92" spans="1:31" x14ac:dyDescent="0.35">
      <c r="B92" s="28">
        <v>8</v>
      </c>
      <c r="C92" s="23">
        <v>0.86249999999999982</v>
      </c>
      <c r="D92" s="23">
        <f t="shared" si="27"/>
        <v>9.0277777777777457E-3</v>
      </c>
      <c r="E92" s="23">
        <v>1.0416666666666666E-2</v>
      </c>
      <c r="F92" s="23">
        <f t="shared" si="33"/>
        <v>4.2361111111111106E-2</v>
      </c>
      <c r="G92" s="23">
        <f t="shared" si="71"/>
        <v>0.90486111111111089</v>
      </c>
      <c r="H92" s="23">
        <f t="shared" si="72"/>
        <v>1.388888888888884E-3</v>
      </c>
      <c r="I92" s="23"/>
      <c r="J92" s="23">
        <f t="shared" si="73"/>
        <v>0.86388888888888871</v>
      </c>
      <c r="K92" s="30">
        <f>(G92-C92)+TrCeib116[[#This Row],[Tt_tex]]</f>
        <v>4.2361111111111072E-2</v>
      </c>
      <c r="L92" s="30">
        <f>SUMIF(B$4:$B92,TrCeib116[[#This Row],[BUS]],$K$4:K92)</f>
        <v>0.33888888888888874</v>
      </c>
      <c r="M92" s="23">
        <f>_xlfn.IFNA(VLOOKUP(TrCeib116[[#This Row],[BUS]],_xlfn._xlws.SORT(VeredaTr127[[BUS]:[T2]],11,-1,FALSE),11,FALSE),0)</f>
        <v>0.33124999999999982</v>
      </c>
      <c r="N92" s="23">
        <f>+TrCeib116[[#This Row],[∑TrCeib]]+TrCeib116[[#This Row],[T2]]</f>
        <v>0.67013888888888862</v>
      </c>
      <c r="S92" s="28">
        <v>14</v>
      </c>
      <c r="T92" s="23">
        <v>0.87777777777777766</v>
      </c>
      <c r="U92" s="23">
        <f t="shared" ref="U92:U101" si="77">T92-T91</f>
        <v>1.4583333333333282E-2</v>
      </c>
      <c r="V92" s="23">
        <v>9.0277777777777787E-3</v>
      </c>
      <c r="W92" s="23">
        <f t="shared" si="37"/>
        <v>3.6805555555555557E-2</v>
      </c>
      <c r="X92" s="23">
        <f t="shared" ref="X92:X101" si="78">+T92+W92</f>
        <v>0.91458333333333319</v>
      </c>
      <c r="Y92" s="23">
        <f t="shared" ref="Y92:Y101" si="79">+(T91+V92)-T92</f>
        <v>-5.5555555555555358E-3</v>
      </c>
      <c r="Z92" s="23"/>
      <c r="AA92" s="23">
        <f t="shared" ref="AA92:AA99" si="80">+T92+Y92</f>
        <v>0.87222222222222212</v>
      </c>
      <c r="AB92" s="30">
        <f t="shared" ref="AB92:AB99" si="81">(X92-T92)</f>
        <v>3.6805555555555536E-2</v>
      </c>
      <c r="AC92" s="30">
        <f>SUMIF($S$4:S92,S92,$AB$4:AB92)</f>
        <v>0.29444444444444434</v>
      </c>
      <c r="AD92" s="23">
        <f>_xlfn.IFNA(VLOOKUP(VeredaTr127[[#This Row],[BUS]],_xlfn._xlws.SORT(TrCeib116[[BUS]:[T2]],11,-1,FALSE),11,FALSE),0)</f>
        <v>0.29652777777777761</v>
      </c>
      <c r="AE92" s="23">
        <f>+VeredaTr127[[#This Row],[∑VeredaTr]]+VeredaTr127[[#This Row],[T2]]</f>
        <v>0.59097222222222201</v>
      </c>
    </row>
    <row r="93" spans="1:31" x14ac:dyDescent="0.35">
      <c r="B93" s="28">
        <v>16</v>
      </c>
      <c r="C93" s="23">
        <v>0.87152777777777757</v>
      </c>
      <c r="D93" s="23">
        <f t="shared" si="27"/>
        <v>9.0277777777777457E-3</v>
      </c>
      <c r="E93" s="23">
        <v>1.0416666666666666E-2</v>
      </c>
      <c r="F93" s="23">
        <f t="shared" si="33"/>
        <v>4.2361111111111106E-2</v>
      </c>
      <c r="G93" s="23">
        <f t="shared" si="71"/>
        <v>0.91388888888888864</v>
      </c>
      <c r="H93" s="23">
        <f t="shared" si="72"/>
        <v>1.388888888888884E-3</v>
      </c>
      <c r="I93" s="23"/>
      <c r="J93" s="23">
        <f t="shared" si="73"/>
        <v>0.87291666666666645</v>
      </c>
      <c r="K93" s="30">
        <f>(G93-C93)+TrCeib116[[#This Row],[Tt_tex]]</f>
        <v>4.2361111111111072E-2</v>
      </c>
      <c r="L93" s="30">
        <f>SUMIF(B$4:$B93,TrCeib116[[#This Row],[BUS]],$K$4:K93)</f>
        <v>0.29444444444444429</v>
      </c>
      <c r="M93" s="23">
        <f>_xlfn.IFNA(VLOOKUP(TrCeib116[[#This Row],[BUS]],_xlfn._xlws.SORT(VeredaTr127[[BUS]:[T2]],11,-1,FALSE),11,FALSE),0)</f>
        <v>0.29444444444444429</v>
      </c>
      <c r="N93" s="23">
        <f>+TrCeib116[[#This Row],[∑TrCeib]]+TrCeib116[[#This Row],[T2]]</f>
        <v>0.58888888888888857</v>
      </c>
      <c r="S93" s="28">
        <v>19</v>
      </c>
      <c r="T93" s="23">
        <v>0.8868055555555554</v>
      </c>
      <c r="U93" s="23">
        <f t="shared" si="77"/>
        <v>9.0277777777777457E-3</v>
      </c>
      <c r="V93" s="23">
        <v>9.0277777777777787E-3</v>
      </c>
      <c r="W93" s="23">
        <f t="shared" si="37"/>
        <v>3.6805555555555557E-2</v>
      </c>
      <c r="X93" s="23">
        <f t="shared" si="78"/>
        <v>0.92361111111111094</v>
      </c>
      <c r="Y93" s="23">
        <f t="shared" si="79"/>
        <v>0</v>
      </c>
      <c r="Z93" s="23"/>
      <c r="AA93" s="23">
        <f t="shared" si="80"/>
        <v>0.8868055555555554</v>
      </c>
      <c r="AB93" s="30">
        <f t="shared" si="81"/>
        <v>3.6805555555555536E-2</v>
      </c>
      <c r="AC93" s="30">
        <f>SUMIF($S$4:S93,S93,$AB$4:AB93)</f>
        <v>0.14722222222222214</v>
      </c>
      <c r="AD93" s="23">
        <f>_xlfn.IFNA(VLOOKUP(VeredaTr127[[#This Row],[BUS]],_xlfn._xlws.SORT(TrCeib116[[BUS]:[T2]],11,-1,FALSE),11,FALSE),0)</f>
        <v>0.16944444444444429</v>
      </c>
      <c r="AE93" s="23">
        <f>+VeredaTr127[[#This Row],[∑VeredaTr]]+VeredaTr127[[#This Row],[T2]]</f>
        <v>0.31666666666666643</v>
      </c>
    </row>
    <row r="94" spans="1:31" x14ac:dyDescent="0.35">
      <c r="B94" s="28">
        <v>3</v>
      </c>
      <c r="C94" s="23">
        <v>0.88055555555555531</v>
      </c>
      <c r="D94" s="23">
        <f t="shared" si="27"/>
        <v>9.0277777777777457E-3</v>
      </c>
      <c r="E94" s="23">
        <v>1.0416666666666666E-2</v>
      </c>
      <c r="F94" s="23">
        <f t="shared" si="33"/>
        <v>4.2361111111111106E-2</v>
      </c>
      <c r="G94" s="23">
        <f t="shared" si="71"/>
        <v>0.92291666666666639</v>
      </c>
      <c r="H94" s="23">
        <f t="shared" si="72"/>
        <v>1.388888888888884E-3</v>
      </c>
      <c r="I94" s="23"/>
      <c r="J94" s="23">
        <f t="shared" si="73"/>
        <v>0.8819444444444442</v>
      </c>
      <c r="K94" s="30">
        <f>(G94-C94)+TrCeib116[[#This Row],[Tt_tex]]</f>
        <v>4.2361111111111072E-2</v>
      </c>
      <c r="L94" s="30">
        <f>SUMIF(B$4:$B94,TrCeib116[[#This Row],[BUS]],$K$4:K94)</f>
        <v>0.25416666666666654</v>
      </c>
      <c r="M94" s="23">
        <f>_xlfn.IFNA(VLOOKUP(TrCeib116[[#This Row],[BUS]],_xlfn._xlws.SORT(VeredaTr127[[BUS]:[T2]],11,-1,FALSE),11,FALSE),0)</f>
        <v>0.22083333333333321</v>
      </c>
      <c r="N94" s="23">
        <f>+TrCeib116[[#This Row],[∑TrCeib]]+TrCeib116[[#This Row],[T2]]</f>
        <v>0.47499999999999976</v>
      </c>
      <c r="S94" s="28">
        <v>15</v>
      </c>
      <c r="T94" s="23">
        <v>0.89583333333333315</v>
      </c>
      <c r="U94" s="23">
        <f t="shared" si="77"/>
        <v>9.0277777777777457E-3</v>
      </c>
      <c r="V94" s="23">
        <v>9.0277777777777787E-3</v>
      </c>
      <c r="W94" s="23">
        <f t="shared" si="37"/>
        <v>3.6805555555555557E-2</v>
      </c>
      <c r="X94" s="23">
        <f t="shared" si="78"/>
        <v>0.93263888888888868</v>
      </c>
      <c r="Y94" s="23">
        <f t="shared" si="79"/>
        <v>0</v>
      </c>
      <c r="Z94" s="23"/>
      <c r="AA94" s="23">
        <f t="shared" si="80"/>
        <v>0.89583333333333315</v>
      </c>
      <c r="AB94" s="30">
        <f t="shared" si="81"/>
        <v>3.6805555555555536E-2</v>
      </c>
      <c r="AC94" s="30">
        <f>SUMIF($S$4:S94,S94,$AB$4:AB94)</f>
        <v>0.29444444444444434</v>
      </c>
      <c r="AD94" s="23">
        <f>_xlfn.IFNA(VLOOKUP(VeredaTr127[[#This Row],[BUS]],_xlfn._xlws.SORT(TrCeib116[[BUS]:[T2]],11,-1,FALSE),11,FALSE),0)</f>
        <v>0.29652777777777761</v>
      </c>
      <c r="AE94" s="23">
        <f>+VeredaTr127[[#This Row],[∑VeredaTr]]+VeredaTr127[[#This Row],[T2]]</f>
        <v>0.59097222222222201</v>
      </c>
    </row>
    <row r="95" spans="1:31" x14ac:dyDescent="0.35">
      <c r="B95" s="28">
        <v>17</v>
      </c>
      <c r="C95" s="23">
        <v>0.88958333333333306</v>
      </c>
      <c r="D95" s="23">
        <f t="shared" si="27"/>
        <v>9.0277777777777457E-3</v>
      </c>
      <c r="E95" s="23">
        <v>1.0416666666666666E-2</v>
      </c>
      <c r="F95" s="23">
        <f t="shared" si="33"/>
        <v>4.2361111111111106E-2</v>
      </c>
      <c r="G95" s="23">
        <f t="shared" si="71"/>
        <v>0.93194444444444413</v>
      </c>
      <c r="H95" s="23">
        <f t="shared" si="72"/>
        <v>1.388888888888884E-3</v>
      </c>
      <c r="I95" s="23"/>
      <c r="J95" s="23">
        <f t="shared" si="73"/>
        <v>0.89097222222222194</v>
      </c>
      <c r="K95" s="30">
        <f>(G95-C95)+TrCeib116[[#This Row],[Tt_tex]]</f>
        <v>4.2361111111111072E-2</v>
      </c>
      <c r="L95" s="30">
        <f>SUMIF(B$4:$B95,TrCeib116[[#This Row],[BUS]],$K$4:K95)</f>
        <v>0.16944444444444429</v>
      </c>
      <c r="M95" s="23">
        <f>_xlfn.IFNA(VLOOKUP(TrCeib116[[#This Row],[BUS]],_xlfn._xlws.SORT(VeredaTr127[[BUS]:[T2]],11,-1,FALSE),11,FALSE),0)</f>
        <v>0.18402777777777768</v>
      </c>
      <c r="N95" s="23">
        <f>+TrCeib116[[#This Row],[∑TrCeib]]+TrCeib116[[#This Row],[T2]]</f>
        <v>0.35347222222222197</v>
      </c>
      <c r="S95" s="28">
        <v>8</v>
      </c>
      <c r="T95" s="23">
        <v>0.90486111111111089</v>
      </c>
      <c r="U95" s="23">
        <f t="shared" si="77"/>
        <v>9.0277777777777457E-3</v>
      </c>
      <c r="V95" s="23">
        <v>9.0277777777777787E-3</v>
      </c>
      <c r="W95" s="23">
        <f t="shared" si="37"/>
        <v>3.6805555555555557E-2</v>
      </c>
      <c r="X95" s="23">
        <f t="shared" si="78"/>
        <v>0.94166666666666643</v>
      </c>
      <c r="Y95" s="23">
        <f t="shared" si="79"/>
        <v>0</v>
      </c>
      <c r="Z95" s="23"/>
      <c r="AA95" s="23">
        <f t="shared" si="80"/>
        <v>0.90486111111111089</v>
      </c>
      <c r="AB95" s="30">
        <f t="shared" si="81"/>
        <v>3.6805555555555536E-2</v>
      </c>
      <c r="AC95" s="30">
        <f>SUMIF($S$4:S95,S95,$AB$4:AB95)</f>
        <v>0.33124999999999982</v>
      </c>
      <c r="AD95" s="23">
        <f>_xlfn.IFNA(VLOOKUP(VeredaTr127[[#This Row],[BUS]],_xlfn._xlws.SORT(TrCeib116[[BUS]:[T2]],11,-1,FALSE),11,FALSE),0)</f>
        <v>0.33888888888888874</v>
      </c>
      <c r="AE95" s="23">
        <f>+VeredaTr127[[#This Row],[∑VeredaTr]]+VeredaTr127[[#This Row],[T2]]</f>
        <v>0.67013888888888862</v>
      </c>
    </row>
    <row r="96" spans="1:31" x14ac:dyDescent="0.35">
      <c r="B96" s="28">
        <v>18</v>
      </c>
      <c r="C96" s="23">
        <v>0.89861111111111081</v>
      </c>
      <c r="D96" s="23">
        <f t="shared" si="27"/>
        <v>9.0277777777777457E-3</v>
      </c>
      <c r="E96" s="23">
        <v>1.0416666666666666E-2</v>
      </c>
      <c r="F96" s="23">
        <f t="shared" si="33"/>
        <v>4.2361111111111106E-2</v>
      </c>
      <c r="G96" s="23">
        <f t="shared" si="71"/>
        <v>0.94097222222222188</v>
      </c>
      <c r="H96" s="23">
        <f t="shared" si="72"/>
        <v>1.388888888888884E-3</v>
      </c>
      <c r="I96" s="23"/>
      <c r="J96" s="23">
        <f t="shared" si="73"/>
        <v>0.89999999999999969</v>
      </c>
      <c r="K96" s="30">
        <f>(G96-C96)+TrCeib116[[#This Row],[Tt_tex]]</f>
        <v>4.2361111111111072E-2</v>
      </c>
      <c r="L96" s="30">
        <f>SUMIF(B$4:$B96,TrCeib116[[#This Row],[BUS]],$K$4:K96)</f>
        <v>0.16944444444444429</v>
      </c>
      <c r="M96" s="23">
        <f>_xlfn.IFNA(VLOOKUP(TrCeib116[[#This Row],[BUS]],_xlfn._xlws.SORT(VeredaTr127[[BUS]:[T2]],11,-1,FALSE),11,FALSE),0)</f>
        <v>0.14722222222222214</v>
      </c>
      <c r="N96" s="23">
        <f>+TrCeib116[[#This Row],[∑TrCeib]]+TrCeib116[[#This Row],[T2]]</f>
        <v>0.31666666666666643</v>
      </c>
      <c r="S96" s="28">
        <v>16</v>
      </c>
      <c r="T96" s="23">
        <v>0.91388888888888864</v>
      </c>
      <c r="U96" s="23">
        <f t="shared" si="77"/>
        <v>9.0277777777777457E-3</v>
      </c>
      <c r="V96" s="23">
        <v>9.0277777777777787E-3</v>
      </c>
      <c r="W96" s="23">
        <f t="shared" si="37"/>
        <v>3.6805555555555557E-2</v>
      </c>
      <c r="X96" s="23">
        <f t="shared" si="78"/>
        <v>0.95069444444444418</v>
      </c>
      <c r="Y96" s="23">
        <f t="shared" si="79"/>
        <v>0</v>
      </c>
      <c r="Z96" s="23"/>
      <c r="AA96" s="23">
        <f t="shared" si="80"/>
        <v>0.91388888888888864</v>
      </c>
      <c r="AB96" s="30">
        <f t="shared" si="81"/>
        <v>3.6805555555555536E-2</v>
      </c>
      <c r="AC96" s="30">
        <f>SUMIF($S$4:S96,S96,$AB$4:AB96)</f>
        <v>0.29444444444444429</v>
      </c>
      <c r="AD96" s="23">
        <f>_xlfn.IFNA(VLOOKUP(VeredaTr127[[#This Row],[BUS]],_xlfn._xlws.SORT(TrCeib116[[BUS]:[T2]],11,-1,FALSE),11,FALSE),0)</f>
        <v>0.29444444444444429</v>
      </c>
      <c r="AE96" s="23">
        <f>+VeredaTr127[[#This Row],[∑VeredaTr]]+VeredaTr127[[#This Row],[T2]]</f>
        <v>0.58888888888888857</v>
      </c>
    </row>
    <row r="97" spans="2:31" x14ac:dyDescent="0.35">
      <c r="B97" s="28">
        <v>4</v>
      </c>
      <c r="C97" s="23">
        <v>0.90763888888888855</v>
      </c>
      <c r="D97" s="23">
        <f t="shared" si="27"/>
        <v>9.0277777777777457E-3</v>
      </c>
      <c r="E97" s="23">
        <v>1.0416666666666666E-2</v>
      </c>
      <c r="F97" s="23">
        <f t="shared" si="33"/>
        <v>4.2361111111111106E-2</v>
      </c>
      <c r="G97" s="23">
        <f t="shared" si="71"/>
        <v>0.94999999999999962</v>
      </c>
      <c r="H97" s="23">
        <f t="shared" si="72"/>
        <v>1.388888888888884E-3</v>
      </c>
      <c r="I97" s="23"/>
      <c r="J97" s="23">
        <f t="shared" si="73"/>
        <v>0.90902777777777743</v>
      </c>
      <c r="K97" s="30">
        <f>(G97-C97)+TrCeib116[[#This Row],[Tt_tex]]</f>
        <v>4.2361111111111072E-2</v>
      </c>
      <c r="L97" s="30">
        <f>SUMIF(B$4:$B97,TrCeib116[[#This Row],[BUS]],$K$4:K97)</f>
        <v>0.21041666666666656</v>
      </c>
      <c r="M97" s="23">
        <f>_xlfn.IFNA(VLOOKUP(TrCeib116[[#This Row],[BUS]],_xlfn._xlws.SORT(VeredaTr127[[BUS]:[T2]],11,-1,FALSE),11,FALSE),0)</f>
        <v>0.18402777777777768</v>
      </c>
      <c r="N97" s="23">
        <f>+TrCeib116[[#This Row],[∑TrCeib]]+TrCeib116[[#This Row],[T2]]</f>
        <v>0.39444444444444426</v>
      </c>
      <c r="S97" s="28">
        <v>3</v>
      </c>
      <c r="T97" s="23">
        <v>0.92291666666666639</v>
      </c>
      <c r="U97" s="23">
        <f t="shared" si="77"/>
        <v>9.0277777777777457E-3</v>
      </c>
      <c r="V97" s="23">
        <v>9.0277777777777787E-3</v>
      </c>
      <c r="W97" s="23">
        <f t="shared" si="37"/>
        <v>3.6805555555555557E-2</v>
      </c>
      <c r="X97" s="23">
        <f t="shared" si="78"/>
        <v>0.95972222222222192</v>
      </c>
      <c r="Y97" s="23">
        <f t="shared" si="79"/>
        <v>0</v>
      </c>
      <c r="Z97" s="23"/>
      <c r="AA97" s="23">
        <f t="shared" si="80"/>
        <v>0.92291666666666639</v>
      </c>
      <c r="AB97" s="30">
        <f t="shared" si="81"/>
        <v>3.6805555555555536E-2</v>
      </c>
      <c r="AC97" s="30">
        <f>SUMIF($S$4:S97,S97,$AB$4:AB97)</f>
        <v>0.22083333333333321</v>
      </c>
      <c r="AD97" s="23">
        <f>_xlfn.IFNA(VLOOKUP(VeredaTr127[[#This Row],[BUS]],_xlfn._xlws.SORT(TrCeib116[[BUS]:[T2]],11,-1,FALSE),11,FALSE),0)</f>
        <v>0.25416666666666654</v>
      </c>
      <c r="AE97" s="23">
        <f>+VeredaTr127[[#This Row],[∑VeredaTr]]+VeredaTr127[[#This Row],[T2]]</f>
        <v>0.47499999999999976</v>
      </c>
    </row>
    <row r="98" spans="2:31" x14ac:dyDescent="0.35">
      <c r="B98" s="28">
        <v>9</v>
      </c>
      <c r="C98" s="23">
        <v>0.9166666666666663</v>
      </c>
      <c r="D98" s="23">
        <f t="shared" si="27"/>
        <v>9.0277777777777457E-3</v>
      </c>
      <c r="E98" s="23">
        <v>1.0416666666666666E-2</v>
      </c>
      <c r="F98" s="23">
        <f t="shared" si="33"/>
        <v>4.2361111111111106E-2</v>
      </c>
      <c r="G98" s="23">
        <f t="shared" si="71"/>
        <v>0.95902777777777737</v>
      </c>
      <c r="H98" s="23">
        <f t="shared" si="72"/>
        <v>1.388888888888884E-3</v>
      </c>
      <c r="I98" s="23"/>
      <c r="J98" s="23">
        <f t="shared" si="73"/>
        <v>0.91805555555555518</v>
      </c>
      <c r="K98" s="30">
        <f>(G98-C98)+TrCeib116[[#This Row],[Tt_tex]]</f>
        <v>4.2361111111111072E-2</v>
      </c>
      <c r="L98" s="30">
        <f>SUMIF(B$4:$B98,TrCeib116[[#This Row],[BUS]],$K$4:K98)</f>
        <v>0.21111111111111103</v>
      </c>
      <c r="M98" s="23">
        <f>_xlfn.IFNA(VLOOKUP(TrCeib116[[#This Row],[BUS]],_xlfn._xlws.SORT(VeredaTr127[[BUS]:[T2]],11,-1,FALSE),11,FALSE),0)</f>
        <v>0.22083333333333324</v>
      </c>
      <c r="N98" s="23">
        <f>+TrCeib116[[#This Row],[∑TrCeib]]+TrCeib116[[#This Row],[T2]]</f>
        <v>0.43194444444444424</v>
      </c>
      <c r="S98" s="28">
        <v>17</v>
      </c>
      <c r="T98" s="23">
        <v>0.93194444444444413</v>
      </c>
      <c r="U98" s="23">
        <f t="shared" si="77"/>
        <v>9.0277777777777457E-3</v>
      </c>
      <c r="V98" s="23">
        <v>9.0277777777777787E-3</v>
      </c>
      <c r="W98" s="23">
        <f t="shared" si="37"/>
        <v>3.6805555555555557E-2</v>
      </c>
      <c r="X98" s="23">
        <f t="shared" si="78"/>
        <v>0.96874999999999967</v>
      </c>
      <c r="Y98" s="23">
        <f t="shared" si="79"/>
        <v>0</v>
      </c>
      <c r="Z98" s="23"/>
      <c r="AA98" s="23">
        <f t="shared" si="80"/>
        <v>0.93194444444444413</v>
      </c>
      <c r="AB98" s="30">
        <f t="shared" si="81"/>
        <v>3.6805555555555536E-2</v>
      </c>
      <c r="AC98" s="30">
        <f>SUMIF($S$4:S98,S98,$AB$4:AB98)</f>
        <v>0.18402777777777768</v>
      </c>
      <c r="AD98" s="23">
        <f>_xlfn.IFNA(VLOOKUP(VeredaTr127[[#This Row],[BUS]],_xlfn._xlws.SORT(TrCeib116[[BUS]:[T2]],11,-1,FALSE),11,FALSE),0)</f>
        <v>0.16944444444444429</v>
      </c>
      <c r="AE98" s="23">
        <f>+VeredaTr127[[#This Row],[∑VeredaTr]]+VeredaTr127[[#This Row],[T2]]</f>
        <v>0.35347222222222197</v>
      </c>
    </row>
    <row r="99" spans="2:31" x14ac:dyDescent="0.3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S99" s="28">
        <v>18</v>
      </c>
      <c r="T99" s="23">
        <v>0.94097222222222188</v>
      </c>
      <c r="U99" s="23">
        <f t="shared" si="77"/>
        <v>9.0277777777777457E-3</v>
      </c>
      <c r="V99" s="23">
        <v>9.0277777777777787E-3</v>
      </c>
      <c r="W99" s="23">
        <f t="shared" si="37"/>
        <v>3.6805555555555557E-2</v>
      </c>
      <c r="X99" s="23">
        <f t="shared" si="78"/>
        <v>0.97777777777777741</v>
      </c>
      <c r="Y99" s="23">
        <f t="shared" si="79"/>
        <v>0</v>
      </c>
      <c r="Z99" s="23"/>
      <c r="AA99" s="23">
        <f t="shared" si="80"/>
        <v>0.94097222222222188</v>
      </c>
      <c r="AB99" s="30">
        <f t="shared" si="81"/>
        <v>3.6805555555555536E-2</v>
      </c>
      <c r="AC99" s="30">
        <f>SUMIF($S$4:S101,S99,$AB$4:AB101)</f>
        <v>0.14722222222222214</v>
      </c>
      <c r="AD99" s="23">
        <f>_xlfn.IFNA(VLOOKUP(VeredaTr127[[#This Row],[BUS]],_xlfn._xlws.SORT(TrCeib116[[BUS]:[T2]],11,-1,FALSE),11,FALSE),0)</f>
        <v>0.16944444444444429</v>
      </c>
      <c r="AE99" s="23">
        <f>+VeredaTr127[[#This Row],[∑VeredaTr]]+VeredaTr127[[#This Row],[T2]]</f>
        <v>0.31666666666666643</v>
      </c>
    </row>
    <row r="100" spans="2:31" x14ac:dyDescent="0.3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S100" s="28">
        <v>4</v>
      </c>
      <c r="T100" s="23">
        <v>0.94999999999999962</v>
      </c>
      <c r="U100" s="23">
        <f t="shared" si="77"/>
        <v>9.0277777777777457E-3</v>
      </c>
      <c r="V100" s="23">
        <v>9.0277777777777787E-3</v>
      </c>
      <c r="W100" s="23">
        <f t="shared" si="37"/>
        <v>3.6805555555555557E-2</v>
      </c>
      <c r="X100" s="23">
        <f t="shared" si="78"/>
        <v>0.98680555555555516</v>
      </c>
      <c r="Y100" s="23">
        <f t="shared" si="79"/>
        <v>0</v>
      </c>
      <c r="Z100" s="23"/>
      <c r="AA100" s="23">
        <f t="shared" ref="AA100:AA101" si="82">+T100+Y100</f>
        <v>0.94999999999999962</v>
      </c>
      <c r="AB100" s="30">
        <f t="shared" ref="AB100:AB101" si="83">(X100-T100)</f>
        <v>3.6805555555555536E-2</v>
      </c>
      <c r="AC100" s="30">
        <f>SUMIF($S$4:S100,S100,$AB$4:AB100)</f>
        <v>0.18402777777777768</v>
      </c>
      <c r="AD100" s="23">
        <f>_xlfn.IFNA(VLOOKUP(VeredaTr127[[#This Row],[BUS]],_xlfn._xlws.SORT(TrCeib116[[BUS]:[T2]],11,-1,FALSE),11,FALSE),0)</f>
        <v>0.21041666666666656</v>
      </c>
      <c r="AE100" s="23">
        <f>+VeredaTr127[[#This Row],[∑VeredaTr]]+VeredaTr127[[#This Row],[T2]]</f>
        <v>0.39444444444444426</v>
      </c>
    </row>
    <row r="101" spans="2:31" x14ac:dyDescent="0.3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S101" s="28">
        <v>9</v>
      </c>
      <c r="T101" s="23">
        <v>0.95902777777777737</v>
      </c>
      <c r="U101" s="23">
        <f t="shared" si="77"/>
        <v>9.0277777777777457E-3</v>
      </c>
      <c r="V101" s="23">
        <v>9.0277777777777787E-3</v>
      </c>
      <c r="W101" s="23">
        <f t="shared" si="37"/>
        <v>3.6805555555555557E-2</v>
      </c>
      <c r="X101" s="23">
        <f t="shared" si="78"/>
        <v>0.9958333333333329</v>
      </c>
      <c r="Y101" s="23">
        <f t="shared" si="79"/>
        <v>0</v>
      </c>
      <c r="Z101" s="23"/>
      <c r="AA101" s="23">
        <f t="shared" si="82"/>
        <v>0.95902777777777737</v>
      </c>
      <c r="AB101" s="30">
        <f t="shared" si="83"/>
        <v>3.6805555555555536E-2</v>
      </c>
      <c r="AC101" s="30">
        <f>SUMIF($S$4:S101,S101,$AB$4:AB101)</f>
        <v>0.22083333333333324</v>
      </c>
      <c r="AD101" s="23">
        <f>_xlfn.IFNA(VLOOKUP(VeredaTr127[[#This Row],[BUS]],_xlfn._xlws.SORT(TrCeib116[[BUS]:[T2]],11,-1,FALSE),11,FALSE),0)</f>
        <v>0.21111111111111103</v>
      </c>
      <c r="AE101" s="23">
        <f>+VeredaTr127[[#This Row],[∑VeredaTr]]+VeredaTr127[[#This Row],[T2]]</f>
        <v>0.43194444444444424</v>
      </c>
    </row>
    <row r="102" spans="2:31" x14ac:dyDescent="0.3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2:31" x14ac:dyDescent="0.3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2:31" x14ac:dyDescent="0.3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2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2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2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2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2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2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2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2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</row>
    <row r="129" spans="3:14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</row>
    <row r="130" spans="3:14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14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14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14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14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14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14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</sheetData>
  <mergeCells count="2">
    <mergeCell ref="A1:B1"/>
    <mergeCell ref="R1:S1"/>
  </mergeCells>
  <conditionalFormatting sqref="A1:A1048576 R3:R101">
    <cfRule type="containsText" dxfId="95" priority="3" operator="containsText" text="u">
      <formula>NOT(ISERROR(SEARCH("u",A1)))</formula>
    </cfRule>
    <cfRule type="containsText" dxfId="94" priority="4" operator="containsText" text="i">
      <formula>NOT(ISERROR(SEARCH("i",A1)))</formula>
    </cfRule>
  </conditionalFormatting>
  <conditionalFormatting sqref="R1">
    <cfRule type="containsText" dxfId="93" priority="1" operator="containsText" text="u">
      <formula>NOT(ISERROR(SEARCH("u",R1)))</formula>
    </cfRule>
    <cfRule type="containsText" dxfId="9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35D6-5A7D-4906-9159-2D5117C072AA}">
  <sheetPr codeName="Hoja22"/>
  <dimension ref="A1:AM138"/>
  <sheetViews>
    <sheetView showGridLines="0" zoomScale="110" zoomScaleNormal="110" workbookViewId="0">
      <pane ySplit="3" topLeftCell="A18" activePane="bottomLeft" state="frozen"/>
      <selection pane="bottomLeft" activeCell="A4" sqref="A4:A42"/>
    </sheetView>
  </sheetViews>
  <sheetFormatPr baseColWidth="10" defaultColWidth="11.453125" defaultRowHeight="14.5" x14ac:dyDescent="0.35"/>
  <cols>
    <col min="1" max="1" width="5.453125" bestFit="1" customWidth="1"/>
    <col min="2" max="2" width="7.08984375" style="28" customWidth="1"/>
    <col min="3" max="7" width="9.81640625" customWidth="1"/>
    <col min="8" max="8" width="9.81640625" style="23" customWidth="1"/>
    <col min="9" max="9" width="9.81640625" customWidth="1"/>
    <col min="10" max="10" width="11.81640625" bestFit="1" customWidth="1"/>
    <col min="11" max="13" width="2.1796875" hidden="1" customWidth="1"/>
    <col min="14" max="14" width="8.1796875" customWidth="1"/>
    <col min="15" max="15" width="0.90625" customWidth="1"/>
    <col min="16" max="16" width="5.54296875" style="31" bestFit="1" customWidth="1"/>
    <col min="17" max="17" width="0.81640625" style="31" customWidth="1"/>
    <col min="18" max="18" width="5.453125" bestFit="1" customWidth="1"/>
    <col min="19" max="19" width="5.1796875" style="28" customWidth="1"/>
    <col min="20" max="20" width="10.1796875" bestFit="1" customWidth="1"/>
    <col min="21" max="23" width="9.81640625" customWidth="1"/>
    <col min="24" max="24" width="11.81640625" customWidth="1"/>
    <col min="25" max="27" width="9.81640625" customWidth="1"/>
    <col min="28" max="30" width="2.1796875" hidden="1" customWidth="1"/>
    <col min="31" max="31" width="10.453125" customWidth="1"/>
    <col min="32" max="33" width="2" bestFit="1" customWidth="1"/>
    <col min="34" max="34" width="4" bestFit="1" customWidth="1"/>
    <col min="35" max="37" width="3" bestFit="1" customWidth="1"/>
    <col min="38" max="38" width="8.81640625" bestFit="1" customWidth="1"/>
  </cols>
  <sheetData>
    <row r="1" spans="1:39" x14ac:dyDescent="0.35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5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5">
      <c r="A4" t="s">
        <v>63</v>
      </c>
      <c r="B4" s="28">
        <v>1</v>
      </c>
      <c r="C4" s="23">
        <v>0.21527777777777779</v>
      </c>
      <c r="D4" s="23" t="e">
        <f t="shared" ref="D4:D42" si="0">C4-C3</f>
        <v>#VALUE!</v>
      </c>
      <c r="E4" s="23"/>
      <c r="F4" s="23">
        <f t="shared" ref="F4:F24" si="1">+$D$2</f>
        <v>4.2361111111111106E-2</v>
      </c>
      <c r="G4" s="23">
        <f>C4+F4</f>
        <v>0.25763888888888892</v>
      </c>
      <c r="I4" s="23"/>
      <c r="J4" s="23">
        <f t="shared" ref="J4:J23" si="2">+C4+H4</f>
        <v>0.21527777777777779</v>
      </c>
      <c r="K4" s="30">
        <f>(G4-C4)+TrCeib11[[#This Row],[Tt_tex]]</f>
        <v>4.2361111111111127E-2</v>
      </c>
      <c r="L4" s="30">
        <f>SUMIF(B$4:$B4,TrCeib11[[#This Row],[BUS]],$K$4:K4)</f>
        <v>4.2361111111111127E-2</v>
      </c>
      <c r="M4" s="23">
        <f>_xlfn.IFNA(VLOOKUP(TrCeib11[[#This Row],[BUS]],_xlfn._xlws.SORT(VeredaTr12[[BUS]:[T2]],11,-1,FALSE),11,FALSE),0)</f>
        <v>7.3611111111111072E-2</v>
      </c>
      <c r="N4" s="23">
        <f>+TrCeib11[[#This Row],[∑TrCeib]]+TrCeib11[[#This Row],[T2]]</f>
        <v>0.1159722222222222</v>
      </c>
      <c r="O4" s="23"/>
      <c r="P4"/>
      <c r="Q4"/>
      <c r="R4" t="s">
        <v>63</v>
      </c>
      <c r="S4" s="28">
        <v>6</v>
      </c>
      <c r="T4" s="23">
        <v>0.21527777777777779</v>
      </c>
      <c r="U4" s="23" t="e">
        <f t="shared" ref="U4:U46" si="3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24" si="4">+T4+Y4</f>
        <v>0.21527777777777779</v>
      </c>
      <c r="AB4" s="30">
        <f t="shared" ref="AB4" si="5">(X4-T4)</f>
        <v>3.6805555555555536E-2</v>
      </c>
      <c r="AC4" s="30">
        <f>SUMIF($S$4:S4,S4,$AB$4:AB4)</f>
        <v>3.6805555555555536E-2</v>
      </c>
      <c r="AD4" s="23">
        <f>_xlfn.IFNA(VLOOKUP(VeredaTr12[[#This Row],[BUS]],_xlfn._xlws.SORT(TrCeib11[[BUS]:[T2]],11,-1,FALSE),11,FALSE),0)</f>
        <v>0.1256944444444445</v>
      </c>
      <c r="AE4" s="23">
        <f>+VeredaTr12[[#This Row],[∑VeredaTr]]+VeredaTr12[[#This Row],[T2]]</f>
        <v>0.16250000000000003</v>
      </c>
      <c r="AL4">
        <v>1</v>
      </c>
      <c r="AM4" s="41">
        <f>VLOOKUP(AL4,_xlfn._xlws.SORT(VeredaTr12[[BUS]:[∑]],13,-1,FALSE),13,FALSE)</f>
        <v>0.20069444444444445</v>
      </c>
    </row>
    <row r="5" spans="1:39" x14ac:dyDescent="0.35">
      <c r="A5" t="s">
        <v>63</v>
      </c>
      <c r="B5" s="28">
        <v>2</v>
      </c>
      <c r="C5" s="23">
        <v>0.22569444444444445</v>
      </c>
      <c r="D5" s="23">
        <f>C5-C4</f>
        <v>1.0416666666666657E-2</v>
      </c>
      <c r="E5" s="23">
        <f>VLOOKUP(TrCeib11[[#This Row],[HORA]],'OFERTA (3)'!I:M,5,TRUE)</f>
        <v>1.0416666666666666E-2</v>
      </c>
      <c r="F5" s="23">
        <f t="shared" si="1"/>
        <v>4.2361111111111106E-2</v>
      </c>
      <c r="G5" s="23">
        <f t="shared" ref="G5:G23" si="6">C5+F5</f>
        <v>0.26805555555555555</v>
      </c>
      <c r="H5" s="23">
        <f t="shared" ref="H5:H24" si="7">+(C4+E5)-C5</f>
        <v>0</v>
      </c>
      <c r="I5" s="23"/>
      <c r="J5" s="23">
        <f t="shared" si="2"/>
        <v>0.22569444444444445</v>
      </c>
      <c r="K5" s="30">
        <f>(G5-C5)+TrCeib11[[#This Row],[Tt_tex]]</f>
        <v>4.2361111111111099E-2</v>
      </c>
      <c r="L5" s="30">
        <f>SUMIF(B$4:$B5,TrCeib11[[#This Row],[BUS]],$K$4:K5)</f>
        <v>4.2361111111111099E-2</v>
      </c>
      <c r="M5" s="23">
        <f>_xlfn.IFNA(VLOOKUP(TrCeib11[[#This Row],[BUS]],_xlfn._xlws.SORT(VeredaTr12[[BUS]:[T2]],11,-1,FALSE),11,FALSE),0)</f>
        <v>7.3611111111111072E-2</v>
      </c>
      <c r="N5" s="23">
        <f>+TrCeib11[[#This Row],[∑TrCeib]]+TrCeib11[[#This Row],[T2]]</f>
        <v>0.11597222222222217</v>
      </c>
      <c r="O5" s="23"/>
      <c r="P5" s="22"/>
      <c r="Q5" s="22"/>
      <c r="R5" t="s">
        <v>63</v>
      </c>
      <c r="S5" s="28">
        <v>7</v>
      </c>
      <c r="T5" s="23">
        <v>0.22430555555555556</v>
      </c>
      <c r="U5" s="23">
        <f t="shared" si="3"/>
        <v>9.0277777777777735E-3</v>
      </c>
      <c r="V5" s="23">
        <f>VLOOKUP(VeredaTr12[[#This Row],[HORA]],'OFERTA (3)'!B:F,5,TRUE)</f>
        <v>1.0416666666666666E-2</v>
      </c>
      <c r="W5" s="23">
        <f>+$U$2</f>
        <v>3.6805555555555557E-2</v>
      </c>
      <c r="X5" s="23">
        <f>+T5+W5</f>
        <v>0.26111111111111113</v>
      </c>
      <c r="Y5" s="23">
        <f t="shared" ref="Y5:Y7" si="8">+(T4+V5)-T5</f>
        <v>1.388888888888884E-3</v>
      </c>
      <c r="Z5" s="23"/>
      <c r="AA5" s="23">
        <f t="shared" si="4"/>
        <v>0.22569444444444445</v>
      </c>
      <c r="AB5" s="30">
        <f t="shared" ref="AB5:AB6" si="9">(X5-T5)</f>
        <v>3.6805555555555564E-2</v>
      </c>
      <c r="AC5" s="30">
        <f>SUMIF($S$4:S5,S5,$AB$4:AB5)</f>
        <v>3.6805555555555564E-2</v>
      </c>
      <c r="AD5" s="23">
        <f>_xlfn.IFNA(VLOOKUP(VeredaTr12[[#This Row],[BUS]],_xlfn._xlws.SORT(TrCeib11[[BUS]:[T2]],11,-1,FALSE),11,FALSE),0)</f>
        <v>8.4722222222222254E-2</v>
      </c>
      <c r="AE5" s="23">
        <f>+VeredaTr12[[#This Row],[∑VeredaTr]]+VeredaTr12[[#This Row],[T2]]</f>
        <v>0.12152777777777782</v>
      </c>
      <c r="AL5">
        <v>2</v>
      </c>
      <c r="AM5" s="41">
        <f>VLOOKUP(AL5,_xlfn._xlws.SORT(VeredaTr12[[BUS]:[∑]],13,-1,FALSE),13,FALSE)</f>
        <v>0.20069444444444443</v>
      </c>
    </row>
    <row r="6" spans="1:39" x14ac:dyDescent="0.35">
      <c r="A6" t="s">
        <v>63</v>
      </c>
      <c r="B6" s="28">
        <v>3</v>
      </c>
      <c r="C6" s="23">
        <v>0.2361111111111111</v>
      </c>
      <c r="D6" s="23">
        <f t="shared" si="0"/>
        <v>1.0416666666666657E-2</v>
      </c>
      <c r="E6" s="23">
        <f>VLOOKUP(TrCeib11[[#This Row],[HORA]],'OFERTA (3)'!I:M,5,TRUE)</f>
        <v>1.0416666666666666E-2</v>
      </c>
      <c r="F6" s="23">
        <f t="shared" si="1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2"/>
        <v>0.2361111111111111</v>
      </c>
      <c r="K6" s="30">
        <f>(G6-C6)+TrCeib11[[#This Row],[Tt_tex]]</f>
        <v>4.2361111111111127E-2</v>
      </c>
      <c r="L6" s="30">
        <f>SUMIF(B$4:$B6,TrCeib11[[#This Row],[BUS]],$K$4:K6)</f>
        <v>4.2361111111111127E-2</v>
      </c>
      <c r="M6" s="23">
        <f>_xlfn.IFNA(VLOOKUP(TrCeib11[[#This Row],[BUS]],_xlfn._xlws.SORT(VeredaTr12[[BUS]:[T2]],11,-1,FALSE),11,FALSE),0)</f>
        <v>7.3611111111111072E-2</v>
      </c>
      <c r="N6" s="23">
        <f>+TrCeib11[[#This Row],[∑TrCeib]]+TrCeib11[[#This Row],[T2]]</f>
        <v>0.1159722222222222</v>
      </c>
      <c r="O6" s="23"/>
      <c r="P6" s="22"/>
      <c r="Q6" s="22"/>
      <c r="R6" t="s">
        <v>63</v>
      </c>
      <c r="S6" s="28">
        <v>8</v>
      </c>
      <c r="T6" s="23">
        <v>0.23333333333333331</v>
      </c>
      <c r="U6" s="23">
        <f t="shared" si="3"/>
        <v>9.0277777777777457E-3</v>
      </c>
      <c r="V6" s="23">
        <f>VLOOKUP(VeredaTr12[[#This Row],[HORA]],'OFERTA (3)'!B:F,5,TRUE)</f>
        <v>1.0416666666666666E-2</v>
      </c>
      <c r="W6" s="23">
        <f t="shared" ref="W6:W24" si="10">+$U$2</f>
        <v>3.6805555555555557E-2</v>
      </c>
      <c r="X6" s="23">
        <f t="shared" ref="X6:X24" si="11">+T6+W6</f>
        <v>0.27013888888888887</v>
      </c>
      <c r="Y6" s="23">
        <f t="shared" si="8"/>
        <v>1.3888888888889117E-3</v>
      </c>
      <c r="Z6" s="23"/>
      <c r="AA6" s="23">
        <f t="shared" si="4"/>
        <v>0.23472222222222222</v>
      </c>
      <c r="AB6" s="30">
        <f t="shared" si="9"/>
        <v>3.6805555555555564E-2</v>
      </c>
      <c r="AC6" s="30">
        <f>SUMIF($S$4:S6,S6,$AB$4:AB6)</f>
        <v>3.6805555555555564E-2</v>
      </c>
      <c r="AD6" s="23">
        <f>_xlfn.IFNA(VLOOKUP(VeredaTr12[[#This Row],[BUS]],_xlfn._xlws.SORT(TrCeib11[[BUS]:[T2]],11,-1,FALSE),11,FALSE),0)</f>
        <v>8.4722222222222254E-2</v>
      </c>
      <c r="AE6" s="23">
        <f>+VeredaTr12[[#This Row],[∑VeredaTr]]+VeredaTr12[[#This Row],[T2]]</f>
        <v>0.12152777777777782</v>
      </c>
      <c r="AL6">
        <v>3</v>
      </c>
      <c r="AM6" s="41">
        <f>VLOOKUP(AL6,_xlfn._xlws.SORT(VeredaTr12[[BUS]:[∑]],13,-1,FALSE),13,FALSE)</f>
        <v>0.20069444444444445</v>
      </c>
    </row>
    <row r="7" spans="1:39" x14ac:dyDescent="0.35">
      <c r="A7" t="s">
        <v>63</v>
      </c>
      <c r="B7" s="28">
        <v>4</v>
      </c>
      <c r="C7" s="23">
        <v>0.24652777777777776</v>
      </c>
      <c r="D7" s="23">
        <f t="shared" si="0"/>
        <v>1.0416666666666657E-2</v>
      </c>
      <c r="E7" s="23">
        <f>VLOOKUP(TrCeib11[[#This Row],[HORA]],'OFERTA (3)'!I:M,5,TRUE)</f>
        <v>1.0416666666666666E-2</v>
      </c>
      <c r="F7" s="47">
        <v>4.0972222222222222E-2</v>
      </c>
      <c r="G7" s="23">
        <f t="shared" si="6"/>
        <v>0.28749999999999998</v>
      </c>
      <c r="H7" s="23">
        <f t="shared" si="7"/>
        <v>0</v>
      </c>
      <c r="I7" s="23"/>
      <c r="J7" s="23">
        <f t="shared" si="2"/>
        <v>0.24652777777777776</v>
      </c>
      <c r="K7" s="30">
        <f>(G7-C7)+TrCeib11[[#This Row],[Tt_tex]]</f>
        <v>4.0972222222222215E-2</v>
      </c>
      <c r="L7" s="30">
        <f>SUMIF(B$4:$B7,TrCeib11[[#This Row],[BUS]],$K$4:K7)</f>
        <v>4.0972222222222215E-2</v>
      </c>
      <c r="M7" s="23">
        <f>_xlfn.IFNA(VLOOKUP(TrCeib11[[#This Row],[BUS]],_xlfn._xlws.SORT(VeredaTr12[[BUS]:[T2]],11,-1,FALSE),11,FALSE),0)</f>
        <v>7.3611111111111072E-2</v>
      </c>
      <c r="N7" s="23">
        <f>+TrCeib11[[#This Row],[∑TrCeib]]+TrCeib11[[#This Row],[T2]]</f>
        <v>0.11458333333333329</v>
      </c>
      <c r="O7" s="23"/>
      <c r="P7" s="22"/>
      <c r="Q7" s="22"/>
      <c r="R7" t="s">
        <v>63</v>
      </c>
      <c r="S7" s="28">
        <v>9</v>
      </c>
      <c r="T7" s="23">
        <v>0.24236111111111111</v>
      </c>
      <c r="U7" s="23">
        <f t="shared" si="3"/>
        <v>9.0277777777778012E-3</v>
      </c>
      <c r="V7" s="23">
        <f>VLOOKUP(VeredaTr12[[#This Row],[HORA]],'OFERTA (3)'!B:F,5,TRUE)</f>
        <v>1.0416666666666666E-2</v>
      </c>
      <c r="W7" s="23">
        <f t="shared" si="10"/>
        <v>3.6805555555555557E-2</v>
      </c>
      <c r="X7" s="23">
        <f t="shared" si="11"/>
        <v>0.27916666666666667</v>
      </c>
      <c r="Y7" s="23">
        <f t="shared" si="8"/>
        <v>1.3888888888888562E-3</v>
      </c>
      <c r="Z7" s="23"/>
      <c r="AA7" s="23">
        <f t="shared" si="4"/>
        <v>0.24374999999999997</v>
      </c>
      <c r="AB7" s="30">
        <f t="shared" ref="AB7:AB24" si="12">(X7-T7)</f>
        <v>3.6805555555555564E-2</v>
      </c>
      <c r="AC7" s="30">
        <f>SUMIF($S$4:S7,S7,$AB$4:AB7)</f>
        <v>3.6805555555555564E-2</v>
      </c>
      <c r="AD7" s="23">
        <f>_xlfn.IFNA(VLOOKUP(VeredaTr12[[#This Row],[BUS]],_xlfn._xlws.SORT(TrCeib11[[BUS]:[T2]],11,-1,FALSE),11,FALSE),0)</f>
        <v>0.12638888888888894</v>
      </c>
      <c r="AE7" s="23">
        <f>+VeredaTr12[[#This Row],[∑VeredaTr]]+VeredaTr12[[#This Row],[T2]]</f>
        <v>0.1631944444444445</v>
      </c>
      <c r="AL7">
        <v>4</v>
      </c>
      <c r="AM7" s="41">
        <f>VLOOKUP(AL7,_xlfn._xlws.SORT(VeredaTr12[[BUS]:[∑]],13,-1,FALSE),13,FALSE)</f>
        <v>0.19930555555555554</v>
      </c>
    </row>
    <row r="8" spans="1:39" x14ac:dyDescent="0.35">
      <c r="B8" s="28">
        <v>6</v>
      </c>
      <c r="C8" s="23">
        <v>0.25208333333333333</v>
      </c>
      <c r="D8" s="23">
        <f t="shared" si="0"/>
        <v>5.5555555555555636E-3</v>
      </c>
      <c r="E8" s="23">
        <f>VLOOKUP(TrCeib11[[#This Row],[HORA]],'OFERTA (3)'!I:M,5,TRUE)</f>
        <v>1.0416666666666666E-2</v>
      </c>
      <c r="F8" s="47">
        <v>4.0972222222222222E-2</v>
      </c>
      <c r="G8" s="23">
        <f t="shared" si="6"/>
        <v>0.29305555555555557</v>
      </c>
      <c r="H8" s="23">
        <f t="shared" si="7"/>
        <v>4.8611111111110938E-3</v>
      </c>
      <c r="I8" s="23"/>
      <c r="J8" s="23">
        <f t="shared" si="2"/>
        <v>0.25694444444444442</v>
      </c>
      <c r="K8" s="30">
        <f>(G8-C8)+TrCeib11[[#This Row],[Tt_tex]]</f>
        <v>4.0972222222222243E-2</v>
      </c>
      <c r="L8" s="30">
        <f>SUMIF(B$4:$B8,TrCeib11[[#This Row],[BUS]],$K$4:K8)</f>
        <v>4.0972222222222243E-2</v>
      </c>
      <c r="M8" s="23">
        <f>_xlfn.IFNA(VLOOKUP(TrCeib11[[#This Row],[BUS]],_xlfn._xlws.SORT(VeredaTr12[[BUS]:[T2]],11,-1,FALSE),11,FALSE),0)</f>
        <v>0.14722222222222214</v>
      </c>
      <c r="N8" s="23">
        <f>+TrCeib11[[#This Row],[∑TrCeib]]+TrCeib11[[#This Row],[T2]]</f>
        <v>0.18819444444444439</v>
      </c>
      <c r="O8" s="23"/>
      <c r="P8" s="22"/>
      <c r="Q8" s="22"/>
      <c r="S8" s="28">
        <v>10</v>
      </c>
      <c r="T8" s="23">
        <v>0.25138888888888888</v>
      </c>
      <c r="U8" s="23">
        <f t="shared" si="3"/>
        <v>9.0277777777777735E-3</v>
      </c>
      <c r="V8" s="23">
        <f>VLOOKUP(VeredaTr12[[#This Row],[HORA]],'OFERTA (3)'!B:F,5,TRUE)</f>
        <v>1.0416666666666666E-2</v>
      </c>
      <c r="W8" s="23">
        <f>+$U$2</f>
        <v>3.6805555555555557E-2</v>
      </c>
      <c r="X8" s="23">
        <f>+T8+W8</f>
        <v>0.28819444444444442</v>
      </c>
      <c r="Y8" s="23">
        <f>+(T7+V8)-T8</f>
        <v>1.388888888888884E-3</v>
      </c>
      <c r="Z8" s="23"/>
      <c r="AA8" s="23">
        <f>+T8+Y8</f>
        <v>0.25277777777777777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_xlfn.IFNA(VLOOKUP(VeredaTr12[[#This Row],[BUS]],_xlfn._xlws.SORT(TrCeib11[[BUS]:[T2]],11,-1,FALSE),11,FALSE),0)</f>
        <v>0.12708333333333338</v>
      </c>
      <c r="AE8" s="23">
        <f>+VeredaTr12[[#This Row],[∑VeredaTr]]+VeredaTr12[[#This Row],[T2]]</f>
        <v>0.16388888888888892</v>
      </c>
      <c r="AL8">
        <v>5</v>
      </c>
      <c r="AM8" s="41" t="e">
        <f>VLOOKUP(AL8,_xlfn._xlws.SORT(VeredaTr12[[BUS]:[∑]],13,-1,FALSE),13,FALSE)</f>
        <v>#N/A</v>
      </c>
    </row>
    <row r="9" spans="1:39" x14ac:dyDescent="0.35">
      <c r="B9" s="28">
        <v>7</v>
      </c>
      <c r="C9" s="23">
        <v>0.26111111111111113</v>
      </c>
      <c r="D9" s="23">
        <f t="shared" si="0"/>
        <v>9.0277777777778012E-3</v>
      </c>
      <c r="E9" s="23">
        <f>VLOOKUP(TrCeib11[[#This Row],[HORA]],'OFERTA (3)'!I:M,5,TRUE)</f>
        <v>1.0416666666666666E-2</v>
      </c>
      <c r="F9" s="23">
        <f t="shared" si="1"/>
        <v>4.2361111111111106E-2</v>
      </c>
      <c r="G9" s="23">
        <f t="shared" si="6"/>
        <v>0.30347222222222225</v>
      </c>
      <c r="H9" s="23">
        <f t="shared" si="7"/>
        <v>1.388888888888884E-3</v>
      </c>
      <c r="I9" s="23"/>
      <c r="J9" s="23">
        <f t="shared" si="2"/>
        <v>0.26250000000000001</v>
      </c>
      <c r="K9" s="30">
        <f>(G9-C9)+TrCeib11[[#This Row],[Tt_tex]]</f>
        <v>4.2361111111111127E-2</v>
      </c>
      <c r="L9" s="30">
        <f>SUMIF(B$4:$B9,TrCeib11[[#This Row],[BUS]],$K$4:K9)</f>
        <v>4.2361111111111127E-2</v>
      </c>
      <c r="M9" s="23">
        <f>_xlfn.IFNA(VLOOKUP(TrCeib11[[#This Row],[BUS]],_xlfn._xlws.SORT(VeredaTr12[[BUS]:[T2]],11,-1,FALSE),11,FALSE),0)</f>
        <v>0.11041666666666664</v>
      </c>
      <c r="N9" s="23">
        <f>+TrCeib11[[#This Row],[∑TrCeib]]+TrCeib11[[#This Row],[T2]]</f>
        <v>0.15277777777777776</v>
      </c>
      <c r="O9" s="23"/>
      <c r="P9" s="22"/>
      <c r="Q9" s="22"/>
      <c r="S9" s="28">
        <v>1</v>
      </c>
      <c r="T9" s="23">
        <v>0.26041666666666669</v>
      </c>
      <c r="U9" s="23">
        <f t="shared" si="3"/>
        <v>9.0277777777778012E-3</v>
      </c>
      <c r="V9" s="23">
        <f>VLOOKUP(VeredaTr12[[#This Row],[HORA]],'OFERTA (3)'!B:F,5,TRUE)</f>
        <v>1.0416666666666666E-2</v>
      </c>
      <c r="W9" s="23">
        <f>+$U$2</f>
        <v>3.6805555555555557E-2</v>
      </c>
      <c r="X9" s="23">
        <f>+T9+W9</f>
        <v>0.29722222222222222</v>
      </c>
      <c r="Y9" s="23">
        <f t="shared" ref="Y9:Y32" si="13">+(T8+V9)-T9</f>
        <v>1.388888888888884E-3</v>
      </c>
      <c r="Z9" s="23">
        <v>2.7777777777777679E-3</v>
      </c>
      <c r="AA9" s="23">
        <f>+T9+Y9</f>
        <v>0.26180555555555557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_xlfn.IFNA(VLOOKUP(VeredaTr12[[#This Row],[BUS]],_xlfn._xlws.SORT(TrCeib11[[BUS]:[T2]],11,-1,FALSE),11,FALSE),0)</f>
        <v>0.12708333333333338</v>
      </c>
      <c r="AE9" s="23">
        <f>+VeredaTr12[[#This Row],[∑VeredaTr]]+VeredaTr12[[#This Row],[T2]]</f>
        <v>0.16388888888888892</v>
      </c>
      <c r="AL9">
        <v>6</v>
      </c>
      <c r="AM9" s="41">
        <f>VLOOKUP(AL9,_xlfn._xlws.SORT(VeredaTr12[[BUS]:[∑]],13,-1,FALSE),13,FALSE)</f>
        <v>0.27291666666666664</v>
      </c>
    </row>
    <row r="10" spans="1:39" x14ac:dyDescent="0.35">
      <c r="B10" s="28">
        <v>8</v>
      </c>
      <c r="C10" s="23">
        <v>0.27013888888888887</v>
      </c>
      <c r="D10" s="23">
        <f t="shared" si="0"/>
        <v>9.0277777777777457E-3</v>
      </c>
      <c r="E10" s="23">
        <f>VLOOKUP(TrCeib11[[#This Row],[HORA]],'OFERTA (3)'!I:M,5,TRUE)</f>
        <v>1.0416666666666666E-2</v>
      </c>
      <c r="F10" s="23">
        <f t="shared" si="1"/>
        <v>4.2361111111111106E-2</v>
      </c>
      <c r="G10" s="23">
        <f t="shared" si="6"/>
        <v>0.3125</v>
      </c>
      <c r="H10" s="23">
        <f t="shared" si="7"/>
        <v>1.3888888888889395E-3</v>
      </c>
      <c r="I10" s="23"/>
      <c r="J10" s="23">
        <f t="shared" si="2"/>
        <v>0.27152777777777781</v>
      </c>
      <c r="K10" s="30">
        <f>(G10-C10)+TrCeib11[[#This Row],[Tt_tex]]</f>
        <v>4.2361111111111127E-2</v>
      </c>
      <c r="L10" s="30">
        <f>SUMIF(B$4:$B10,TrCeib11[[#This Row],[BUS]],$K$4:K10)</f>
        <v>4.2361111111111127E-2</v>
      </c>
      <c r="M10" s="23">
        <f>_xlfn.IFNA(VLOOKUP(TrCeib11[[#This Row],[BUS]],_xlfn._xlws.SORT(VeredaTr12[[BUS]:[T2]],11,-1,FALSE),11,FALSE),0)</f>
        <v>0.11041666666666664</v>
      </c>
      <c r="N10" s="23">
        <f>+TrCeib11[[#This Row],[∑TrCeib]]+TrCeib11[[#This Row],[T2]]</f>
        <v>0.15277777777777776</v>
      </c>
      <c r="O10" s="23"/>
      <c r="P10" s="22"/>
      <c r="Q10" s="22"/>
      <c r="S10" s="28">
        <v>2</v>
      </c>
      <c r="T10" s="23">
        <v>0.26944444444444449</v>
      </c>
      <c r="U10" s="23">
        <f t="shared" si="3"/>
        <v>9.0277777777778012E-3</v>
      </c>
      <c r="V10" s="23">
        <f>VLOOKUP(VeredaTr12[[#This Row],[HORA]],'OFERTA (3)'!B:F,5,TRUE)</f>
        <v>1.0416666666666666E-2</v>
      </c>
      <c r="W10" s="23">
        <f t="shared" si="10"/>
        <v>3.6805555555555557E-2</v>
      </c>
      <c r="X10" s="23">
        <f t="shared" si="11"/>
        <v>0.30625000000000002</v>
      </c>
      <c r="Y10" s="23">
        <f t="shared" si="13"/>
        <v>1.388888888888884E-3</v>
      </c>
      <c r="Z10" s="23">
        <v>1.3888888888889395E-3</v>
      </c>
      <c r="AA10" s="23">
        <f t="shared" si="4"/>
        <v>0.27083333333333337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_xlfn.IFNA(VLOOKUP(VeredaTr12[[#This Row],[BUS]],_xlfn._xlws.SORT(TrCeib11[[BUS]:[T2]],11,-1,FALSE),11,FALSE),0)</f>
        <v>0.12708333333333335</v>
      </c>
      <c r="AE10" s="23">
        <f>+VeredaTr12[[#This Row],[∑VeredaTr]]+VeredaTr12[[#This Row],[T2]]</f>
        <v>0.16388888888888889</v>
      </c>
      <c r="AL10">
        <v>7</v>
      </c>
      <c r="AM10" s="41">
        <f>VLOOKUP(AL10,_xlfn._xlws.SORT(VeredaTr12[[BUS]:[∑]],13,-1,FALSE),13,FALSE)</f>
        <v>0.19513888888888889</v>
      </c>
    </row>
    <row r="11" spans="1:39" x14ac:dyDescent="0.35">
      <c r="B11" s="28">
        <v>9</v>
      </c>
      <c r="C11" s="23">
        <v>0.27916666666666667</v>
      </c>
      <c r="D11" s="23">
        <f t="shared" si="0"/>
        <v>9.0277777777778012E-3</v>
      </c>
      <c r="E11" s="23">
        <f>VLOOKUP(TrCeib11[[#This Row],[HORA]],'OFERTA (3)'!I:M,5,TRUE)</f>
        <v>1.0416666666666666E-2</v>
      </c>
      <c r="F11" s="47">
        <v>4.1666666666666664E-2</v>
      </c>
      <c r="G11" s="23">
        <f t="shared" si="6"/>
        <v>0.32083333333333336</v>
      </c>
      <c r="H11" s="23">
        <f t="shared" si="7"/>
        <v>1.388888888888884E-3</v>
      </c>
      <c r="I11" s="23"/>
      <c r="J11" s="23">
        <f t="shared" si="2"/>
        <v>0.28055555555555556</v>
      </c>
      <c r="K11" s="30">
        <f>(G11-C11)+TrCeib11[[#This Row],[Tt_tex]]</f>
        <v>4.1666666666666685E-2</v>
      </c>
      <c r="L11" s="30">
        <f>SUMIF(B$4:$B11,TrCeib11[[#This Row],[BUS]],$K$4:K11)</f>
        <v>4.1666666666666685E-2</v>
      </c>
      <c r="M11" s="23">
        <f>_xlfn.IFNA(VLOOKUP(TrCeib11[[#This Row],[BUS]],_xlfn._xlws.SORT(VeredaTr12[[BUS]:[T2]],11,-1,FALSE),11,FALSE),0)</f>
        <v>0.14583333333333329</v>
      </c>
      <c r="N11" s="23">
        <f>+TrCeib11[[#This Row],[∑TrCeib]]+TrCeib11[[#This Row],[T2]]</f>
        <v>0.18749999999999997</v>
      </c>
      <c r="O11" s="23"/>
      <c r="P11" s="22"/>
      <c r="Q11" s="22"/>
      <c r="R11" s="22"/>
      <c r="S11" s="28">
        <v>3</v>
      </c>
      <c r="T11" s="23">
        <v>0.27847222222222223</v>
      </c>
      <c r="U11" s="23">
        <f t="shared" si="3"/>
        <v>9.0277777777777457E-3</v>
      </c>
      <c r="V11" s="23">
        <f>VLOOKUP(VeredaTr12[[#This Row],[HORA]],'OFERTA (3)'!B:F,5,TRUE)</f>
        <v>1.0416666666666666E-2</v>
      </c>
      <c r="W11" s="23">
        <f t="shared" si="10"/>
        <v>3.6805555555555557E-2</v>
      </c>
      <c r="X11" s="23">
        <f t="shared" si="11"/>
        <v>0.31527777777777777</v>
      </c>
      <c r="Y11" s="23">
        <f t="shared" si="13"/>
        <v>1.3888888888889395E-3</v>
      </c>
      <c r="Z11" s="23"/>
      <c r="AA11" s="23">
        <f t="shared" si="4"/>
        <v>0.27986111111111117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_xlfn.IFNA(VLOOKUP(VeredaTr12[[#This Row],[BUS]],_xlfn._xlws.SORT(TrCeib11[[BUS]:[T2]],11,-1,FALSE),11,FALSE),0)</f>
        <v>0.12708333333333338</v>
      </c>
      <c r="AE11" s="23">
        <f>+VeredaTr12[[#This Row],[∑VeredaTr]]+VeredaTr12[[#This Row],[T2]]</f>
        <v>0.16388888888888892</v>
      </c>
      <c r="AL11">
        <v>8</v>
      </c>
      <c r="AM11" s="41">
        <f>VLOOKUP(AL11,_xlfn._xlws.SORT(VeredaTr12[[BUS]:[∑]],13,-1,FALSE),13,FALSE)</f>
        <v>0.19513888888888889</v>
      </c>
    </row>
    <row r="12" spans="1:39" x14ac:dyDescent="0.35">
      <c r="B12" s="28">
        <v>10</v>
      </c>
      <c r="C12" s="23">
        <v>0.28819444444444442</v>
      </c>
      <c r="D12" s="23">
        <f t="shared" si="0"/>
        <v>9.0277777777777457E-3</v>
      </c>
      <c r="E12" s="23">
        <f>VLOOKUP(TrCeib11[[#This Row],[HORA]],'OFERTA (3)'!I:M,5,TRUE)</f>
        <v>1.0416666666666666E-2</v>
      </c>
      <c r="F12" s="23">
        <f t="shared" si="1"/>
        <v>4.2361111111111106E-2</v>
      </c>
      <c r="G12" s="23">
        <f t="shared" si="6"/>
        <v>0.33055555555555555</v>
      </c>
      <c r="H12" s="23">
        <f t="shared" si="7"/>
        <v>1.3888888888889395E-3</v>
      </c>
      <c r="I12" s="23"/>
      <c r="J12" s="23">
        <f t="shared" si="2"/>
        <v>0.28958333333333336</v>
      </c>
      <c r="K12" s="30">
        <f>(G12-C12)+TrCeib11[[#This Row],[Tt_tex]]</f>
        <v>4.2361111111111127E-2</v>
      </c>
      <c r="L12" s="30">
        <f>SUMIF(B$4:$B12,TrCeib11[[#This Row],[BUS]],$K$4:K12)</f>
        <v>4.2361111111111127E-2</v>
      </c>
      <c r="M12" s="23">
        <f>_xlfn.IFNA(VLOOKUP(TrCeib11[[#This Row],[BUS]],_xlfn._xlws.SORT(VeredaTr12[[BUS]:[T2]],11,-1,FALSE),11,FALSE),0)</f>
        <v>0.14513888888888887</v>
      </c>
      <c r="N12" s="23">
        <f>+TrCeib11[[#This Row],[∑TrCeib]]+TrCeib11[[#This Row],[T2]]</f>
        <v>0.1875</v>
      </c>
      <c r="O12" s="23"/>
      <c r="P12" s="22"/>
      <c r="Q12" s="22"/>
      <c r="R12" s="22"/>
      <c r="S12" s="28">
        <v>4</v>
      </c>
      <c r="T12" s="23">
        <v>0.28749999999999998</v>
      </c>
      <c r="U12" s="23">
        <f t="shared" si="3"/>
        <v>9.0277777777777457E-3</v>
      </c>
      <c r="V12" s="23">
        <f>VLOOKUP(VeredaTr12[[#This Row],[HORA]],'OFERTA (3)'!B:F,5,TRUE)</f>
        <v>1.0416666666666666E-2</v>
      </c>
      <c r="W12" s="23">
        <f t="shared" si="10"/>
        <v>3.6805555555555557E-2</v>
      </c>
      <c r="X12" s="23">
        <f t="shared" si="11"/>
        <v>0.32430555555555551</v>
      </c>
      <c r="Y12" s="23">
        <f t="shared" si="13"/>
        <v>1.3888888888889395E-3</v>
      </c>
      <c r="Z12" s="23"/>
      <c r="AA12" s="23">
        <f t="shared" si="4"/>
        <v>0.28888888888888892</v>
      </c>
      <c r="AB12" s="30">
        <f t="shared" si="12"/>
        <v>3.6805555555555536E-2</v>
      </c>
      <c r="AC12" s="30">
        <f>SUMIF($S$4:S12,S12,$AB$4:AB12)</f>
        <v>3.6805555555555536E-2</v>
      </c>
      <c r="AD12" s="23">
        <f>_xlfn.IFNA(VLOOKUP(VeredaTr12[[#This Row],[BUS]],_xlfn._xlws.SORT(TrCeib11[[BUS]:[T2]],11,-1,FALSE),11,FALSE),0)</f>
        <v>0.12569444444444447</v>
      </c>
      <c r="AE12" s="23">
        <f>+VeredaTr12[[#This Row],[∑VeredaTr]]+VeredaTr12[[#This Row],[T2]]</f>
        <v>0.16250000000000001</v>
      </c>
      <c r="AL12">
        <v>9</v>
      </c>
      <c r="AM12" s="41">
        <f>VLOOKUP(AL12,_xlfn._xlws.SORT(VeredaTr12[[BUS]:[∑]],13,-1,FALSE),13,FALSE)</f>
        <v>0.27222222222222225</v>
      </c>
    </row>
    <row r="13" spans="1:39" x14ac:dyDescent="0.35">
      <c r="B13" s="28">
        <v>1</v>
      </c>
      <c r="C13" s="23">
        <v>0.29722222222222222</v>
      </c>
      <c r="D13" s="23">
        <f>C13-C12</f>
        <v>9.0277777777778012E-3</v>
      </c>
      <c r="E13" s="23">
        <f>VLOOKUP(TrCeib11[[#This Row],[HORA]],'OFERTA (3)'!I:M,5,TRUE)</f>
        <v>5.5555555555555558E-3</v>
      </c>
      <c r="F13" s="23">
        <f t="shared" si="1"/>
        <v>4.2361111111111106E-2</v>
      </c>
      <c r="G13" s="23">
        <f t="shared" si="6"/>
        <v>0.33958333333333335</v>
      </c>
      <c r="H13" s="23">
        <f>+(C12+E13)-C13</f>
        <v>-3.4722222222222654E-3</v>
      </c>
      <c r="I13" s="23"/>
      <c r="J13" s="23">
        <f t="shared" si="2"/>
        <v>0.29374999999999996</v>
      </c>
      <c r="K13" s="30">
        <f>(G13-C13)+TrCeib11[[#This Row],[Tt_tex]]</f>
        <v>4.2361111111111127E-2</v>
      </c>
      <c r="L13" s="30">
        <f>SUMIF(B$4:$B13,TrCeib11[[#This Row],[BUS]],$K$4:K13)</f>
        <v>8.4722222222222254E-2</v>
      </c>
      <c r="M13" s="23">
        <f>_xlfn.IFNA(VLOOKUP(TrCeib11[[#This Row],[BUS]],_xlfn._xlws.SORT(VeredaTr12[[BUS]:[T2]],11,-1,FALSE),11,FALSE),0)</f>
        <v>7.3611111111111072E-2</v>
      </c>
      <c r="N13" s="23">
        <f>+TrCeib11[[#This Row],[∑TrCeib]]+TrCeib11[[#This Row],[T2]]</f>
        <v>0.15833333333333333</v>
      </c>
      <c r="O13" s="23"/>
      <c r="P13" s="22"/>
      <c r="Q13" s="22"/>
      <c r="R13" s="22"/>
      <c r="S13" s="28">
        <v>6</v>
      </c>
      <c r="T13" s="23">
        <v>0.29305555555555557</v>
      </c>
      <c r="U13" s="23">
        <f t="shared" si="3"/>
        <v>5.5555555555555913E-3</v>
      </c>
      <c r="V13" s="23">
        <f>VLOOKUP(VeredaTr12[[#This Row],[HORA]],'OFERTA (3)'!B:F,5,TRUE)</f>
        <v>5.5555555555555558E-3</v>
      </c>
      <c r="W13" s="23">
        <f t="shared" si="10"/>
        <v>3.6805555555555557E-2</v>
      </c>
      <c r="X13" s="23">
        <f t="shared" si="11"/>
        <v>0.3298611111111111</v>
      </c>
      <c r="Y13" s="23">
        <f t="shared" si="13"/>
        <v>0</v>
      </c>
      <c r="Z13" s="23"/>
      <c r="AA13" s="23">
        <f t="shared" si="4"/>
        <v>0.29305555555555557</v>
      </c>
      <c r="AB13" s="30">
        <f t="shared" si="12"/>
        <v>3.6805555555555536E-2</v>
      </c>
      <c r="AC13" s="30">
        <f>SUMIF($S$4:S13,S13,$AB$4:AB13)</f>
        <v>7.3611111111111072E-2</v>
      </c>
      <c r="AD13" s="23">
        <f>_xlfn.IFNA(VLOOKUP(VeredaTr12[[#This Row],[BUS]],_xlfn._xlws.SORT(TrCeib11[[BUS]:[T2]],11,-1,FALSE),11,FALSE),0)</f>
        <v>0.1256944444444445</v>
      </c>
      <c r="AE13" s="23">
        <f>+VeredaTr12[[#This Row],[∑VeredaTr]]+VeredaTr12[[#This Row],[T2]]</f>
        <v>0.19930555555555557</v>
      </c>
      <c r="AL13">
        <v>10</v>
      </c>
      <c r="AM13" s="41">
        <f>VLOOKUP(AL13,_xlfn._xlws.SORT(VeredaTr12[[BUS]:[∑]],13,-1,FALSE),13,FALSE)</f>
        <v>0.27222222222222225</v>
      </c>
    </row>
    <row r="14" spans="1:39" x14ac:dyDescent="0.35">
      <c r="A14" t="s">
        <v>63</v>
      </c>
      <c r="B14" s="28">
        <v>11</v>
      </c>
      <c r="C14" s="23">
        <v>0.30277777777777776</v>
      </c>
      <c r="D14" s="23">
        <f t="shared" si="0"/>
        <v>5.5555555555555358E-3</v>
      </c>
      <c r="E14" s="23">
        <f>VLOOKUP(TrCeib11[[#This Row],[HORA]],'OFERTA (3)'!I:M,5,TRUE)</f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7"/>
        <v>0</v>
      </c>
      <c r="I14" s="23"/>
      <c r="J14" s="23">
        <f>+C14+H14</f>
        <v>0.30277777777777776</v>
      </c>
      <c r="K14" s="30">
        <f>(G14-C14)+TrCeib11[[#This Row],[Tt_tex]]</f>
        <v>4.2361111111111127E-2</v>
      </c>
      <c r="L14" s="30">
        <f>SUMIF(B$4:$B14,TrCeib11[[#This Row],[BUS]],$K$4:K14)</f>
        <v>4.2361111111111127E-2</v>
      </c>
      <c r="M14" s="23">
        <f>_xlfn.IFNA(VLOOKUP(TrCeib11[[#This Row],[BUS]],_xlfn._xlws.SORT(VeredaTr12[[BUS]:[T2]],11,-1,FALSE),11,FALSE),0)</f>
        <v>0.11041666666666661</v>
      </c>
      <c r="N14" s="23">
        <f>+TrCeib11[[#This Row],[∑TrCeib]]+TrCeib11[[#This Row],[T2]]</f>
        <v>0.15277777777777773</v>
      </c>
      <c r="O14" s="23"/>
      <c r="P14" s="40"/>
      <c r="Q14" s="22"/>
      <c r="R14" s="22" t="s">
        <v>63</v>
      </c>
      <c r="S14" s="28">
        <v>14</v>
      </c>
      <c r="T14" s="23">
        <v>0.2986111111111111</v>
      </c>
      <c r="U14" s="23">
        <f>T14-T13</f>
        <v>5.5555555555555358E-3</v>
      </c>
      <c r="V14" s="23">
        <f>VLOOKUP(VeredaTr12[[#This Row],[HORA]],'OFERTA (3)'!B:F,5,TRUE)</f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_xlfn.IFNA(VLOOKUP(VeredaTr12[[#This Row],[BUS]],_xlfn._xlws.SORT(TrCeib11[[BUS]:[T2]],11,-1,FALSE),11,FALSE),0)</f>
        <v>8.4722222222222254E-2</v>
      </c>
      <c r="AE14" s="23">
        <f>+VeredaTr12[[#This Row],[∑VeredaTr]]+VeredaTr12[[#This Row],[T2]]</f>
        <v>0.12152777777777779</v>
      </c>
      <c r="AL14">
        <v>11</v>
      </c>
      <c r="AM14" s="41">
        <f>VLOOKUP(AL14,_xlfn._xlws.SORT(VeredaTr12[[BUS]:[∑]],13,-1,FALSE),13,FALSE)</f>
        <v>0.23749999999999999</v>
      </c>
    </row>
    <row r="15" spans="1:39" x14ac:dyDescent="0.35">
      <c r="B15" s="28">
        <v>2</v>
      </c>
      <c r="C15" s="23">
        <v>0.30625000000000002</v>
      </c>
      <c r="D15" s="23">
        <f t="shared" si="0"/>
        <v>3.4722222222222654E-3</v>
      </c>
      <c r="E15" s="23">
        <f>VLOOKUP(TrCeib11[[#This Row],[HORA]],'OFERTA (3)'!I:M,5,TRUE)</f>
        <v>5.5555555555555558E-3</v>
      </c>
      <c r="F15" s="23">
        <f t="shared" si="1"/>
        <v>4.2361111111111106E-2</v>
      </c>
      <c r="G15" s="23">
        <f t="shared" si="6"/>
        <v>0.34861111111111115</v>
      </c>
      <c r="H15" s="23">
        <f t="shared" si="7"/>
        <v>2.0833333333332704E-3</v>
      </c>
      <c r="I15" s="23"/>
      <c r="J15" s="23">
        <f t="shared" si="2"/>
        <v>0.30833333333333329</v>
      </c>
      <c r="K15" s="30">
        <f>(G15-C15)+TrCeib11[[#This Row],[Tt_tex]]</f>
        <v>4.2361111111111127E-2</v>
      </c>
      <c r="L15" s="30">
        <f>SUMIF(B$4:$B15,TrCeib11[[#This Row],[BUS]],$K$4:K15)</f>
        <v>8.4722222222222227E-2</v>
      </c>
      <c r="M15" s="23">
        <f>_xlfn.IFNA(VLOOKUP(TrCeib11[[#This Row],[BUS]],_xlfn._xlws.SORT(VeredaTr12[[BUS]:[T2]],11,-1,FALSE),11,FALSE),0)</f>
        <v>7.3611111111111072E-2</v>
      </c>
      <c r="N15" s="23">
        <f>+TrCeib11[[#This Row],[∑TrCeib]]+TrCeib11[[#This Row],[T2]]</f>
        <v>0.1583333333333333</v>
      </c>
      <c r="O15" s="23"/>
      <c r="P15" s="22"/>
      <c r="Q15" s="22"/>
      <c r="R15" s="22"/>
      <c r="S15" s="28">
        <v>7</v>
      </c>
      <c r="T15" s="23">
        <v>0.30416666666666664</v>
      </c>
      <c r="U15" s="23">
        <f t="shared" si="3"/>
        <v>5.5555555555555358E-3</v>
      </c>
      <c r="V15" s="23">
        <f>VLOOKUP(VeredaTr12[[#This Row],[HORA]],'OFERTA (3)'!B:F,5,TRUE)</f>
        <v>5.5555555555555558E-3</v>
      </c>
      <c r="W15" s="23">
        <f t="shared" si="10"/>
        <v>3.6805555555555557E-2</v>
      </c>
      <c r="X15" s="23">
        <f t="shared" si="11"/>
        <v>0.34097222222222218</v>
      </c>
      <c r="Y15" s="23">
        <f t="shared" si="13"/>
        <v>0</v>
      </c>
      <c r="Z15" s="23">
        <v>6.9444444444438647E-4</v>
      </c>
      <c r="AA15" s="23">
        <f t="shared" si="4"/>
        <v>0.30416666666666664</v>
      </c>
      <c r="AB15" s="30">
        <f t="shared" si="12"/>
        <v>3.6805555555555536E-2</v>
      </c>
      <c r="AC15" s="30">
        <f>SUMIF($S$4:S15,S15,$AB$4:AB15)</f>
        <v>7.3611111111111099E-2</v>
      </c>
      <c r="AD15" s="23">
        <f>_xlfn.IFNA(VLOOKUP(VeredaTr12[[#This Row],[BUS]],_xlfn._xlws.SORT(TrCeib11[[BUS]:[T2]],11,-1,FALSE),11,FALSE),0)</f>
        <v>8.4722222222222254E-2</v>
      </c>
      <c r="AE15" s="23">
        <f>+VeredaTr12[[#This Row],[∑VeredaTr]]+VeredaTr12[[#This Row],[T2]]</f>
        <v>0.15833333333333335</v>
      </c>
      <c r="AL15">
        <v>12</v>
      </c>
      <c r="AM15" s="41">
        <f>VLOOKUP(AL15,_xlfn._xlws.SORT(VeredaTr12[[BUS]:[∑]],13,-1,FALSE),13,FALSE)</f>
        <v>0.23749999999999993</v>
      </c>
    </row>
    <row r="16" spans="1:39" x14ac:dyDescent="0.35">
      <c r="A16" t="s">
        <v>63</v>
      </c>
      <c r="B16" s="28">
        <v>12</v>
      </c>
      <c r="C16" s="23">
        <v>0.31180555555555556</v>
      </c>
      <c r="D16" s="23">
        <f>C16-C15</f>
        <v>5.5555555555555358E-3</v>
      </c>
      <c r="E16" s="23">
        <f>VLOOKUP(TrCeib11[[#This Row],[HORA]],'OFERTA (3)'!I:M,5,TRUE)</f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7"/>
        <v>0</v>
      </c>
      <c r="I16" s="23"/>
      <c r="J16" s="23">
        <f>+C16+H16</f>
        <v>0.31180555555555556</v>
      </c>
      <c r="K16" s="30">
        <f>(G16-C16)+TrCeib11[[#This Row],[Tt_tex]]</f>
        <v>4.2361111111111127E-2</v>
      </c>
      <c r="L16" s="30">
        <f>SUMIF(B$4:$B16,TrCeib11[[#This Row],[BUS]],$K$4:K16)</f>
        <v>4.2361111111111127E-2</v>
      </c>
      <c r="M16" s="23">
        <f>_xlfn.IFNA(VLOOKUP(TrCeib11[[#This Row],[BUS]],_xlfn._xlws.SORT(VeredaTr12[[BUS]:[T2]],11,-1,FALSE),11,FALSE),0)</f>
        <v>0.11041666666666661</v>
      </c>
      <c r="N16" s="23">
        <f>+TrCeib11[[#This Row],[∑TrCeib]]+TrCeib11[[#This Row],[T2]]</f>
        <v>0.15277777777777773</v>
      </c>
      <c r="O16" s="23"/>
      <c r="P16" s="22"/>
      <c r="Q16" s="22"/>
      <c r="R16" s="22" t="s">
        <v>63</v>
      </c>
      <c r="S16" s="28">
        <v>15</v>
      </c>
      <c r="T16" s="23">
        <v>0.30972222222222223</v>
      </c>
      <c r="U16" s="23">
        <f>T16-T15</f>
        <v>5.5555555555555913E-3</v>
      </c>
      <c r="V16" s="23">
        <f>VLOOKUP(VeredaTr12[[#This Row],[HORA]],'OFERTA (3)'!B:F,5,TRUE)</f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_xlfn.IFNA(VLOOKUP(VeredaTr12[[#This Row],[BUS]],_xlfn._xlws.SORT(TrCeib11[[BUS]:[T2]],11,-1,FALSE),11,FALSE),0)</f>
        <v>8.4722222222222254E-2</v>
      </c>
      <c r="AE16" s="23">
        <f>+VeredaTr12[[#This Row],[∑VeredaTr]]+VeredaTr12[[#This Row],[T2]]</f>
        <v>0.12152777777777779</v>
      </c>
      <c r="AL16">
        <v>13</v>
      </c>
      <c r="AM16" s="41">
        <f>VLOOKUP(AL16,_xlfn._xlws.SORT(VeredaTr12[[BUS]:[∑]],13,-1,FALSE),13,FALSE)</f>
        <v>0.23749999999999999</v>
      </c>
    </row>
    <row r="17" spans="1:39" x14ac:dyDescent="0.35">
      <c r="B17" s="28">
        <v>3</v>
      </c>
      <c r="C17" s="23">
        <v>0.31527777777777777</v>
      </c>
      <c r="D17" s="23">
        <f t="shared" si="0"/>
        <v>3.4722222222222099E-3</v>
      </c>
      <c r="E17" s="23">
        <f>VLOOKUP(TrCeib11[[#This Row],[HORA]],'OFERTA (3)'!I:M,5,TRUE)</f>
        <v>5.5555555555555558E-3</v>
      </c>
      <c r="F17" s="23">
        <f t="shared" si="1"/>
        <v>4.2361111111111106E-2</v>
      </c>
      <c r="G17" s="23">
        <f>C17+F17</f>
        <v>0.3576388888888889</v>
      </c>
      <c r="H17" s="23">
        <f t="shared" si="7"/>
        <v>2.0833333333333259E-3</v>
      </c>
      <c r="I17" s="23"/>
      <c r="J17" s="23">
        <f>+C17+H17</f>
        <v>0.31736111111111109</v>
      </c>
      <c r="K17" s="30">
        <f>(G17-C17)+TrCeib11[[#This Row],[Tt_tex]]</f>
        <v>4.2361111111111127E-2</v>
      </c>
      <c r="L17" s="30">
        <f>SUMIF(B$4:$B17,TrCeib11[[#This Row],[BUS]],$K$4:K17)</f>
        <v>8.4722222222222254E-2</v>
      </c>
      <c r="M17" s="23">
        <f>_xlfn.IFNA(VLOOKUP(TrCeib11[[#This Row],[BUS]],_xlfn._xlws.SORT(VeredaTr12[[BUS]:[T2]],11,-1,FALSE),11,FALSE),0)</f>
        <v>7.3611111111111072E-2</v>
      </c>
      <c r="N17" s="23">
        <f>+TrCeib11[[#This Row],[∑TrCeib]]+TrCeib11[[#This Row],[T2]]</f>
        <v>0.15833333333333333</v>
      </c>
      <c r="O17" s="23"/>
      <c r="P17" s="22"/>
      <c r="Q17" s="22"/>
      <c r="R17" s="22"/>
      <c r="S17" s="28">
        <v>8</v>
      </c>
      <c r="T17" s="23">
        <v>0.31527777777777777</v>
      </c>
      <c r="U17" s="23">
        <f t="shared" ref="U17" si="14">T17-T16</f>
        <v>5.5555555555555358E-3</v>
      </c>
      <c r="V17" s="23">
        <f>VLOOKUP(VeredaTr12[[#This Row],[HORA]],'OFERTA (3)'!B:F,5,TRUE)</f>
        <v>5.5555555555555558E-3</v>
      </c>
      <c r="W17" s="23">
        <f t="shared" si="10"/>
        <v>3.6805555555555557E-2</v>
      </c>
      <c r="X17" s="23">
        <f t="shared" si="11"/>
        <v>0.3520833333333333</v>
      </c>
      <c r="Y17" s="23">
        <f t="shared" si="13"/>
        <v>0</v>
      </c>
      <c r="Z17" s="23">
        <v>2.7777777777777679E-3</v>
      </c>
      <c r="AA17" s="23">
        <f t="shared" si="4"/>
        <v>0.31527777777777777</v>
      </c>
      <c r="AB17" s="30">
        <f t="shared" si="12"/>
        <v>3.6805555555555536E-2</v>
      </c>
      <c r="AC17" s="30">
        <f>SUMIF($S$4:S17,S17,$AB$4:AB17)</f>
        <v>7.3611111111111099E-2</v>
      </c>
      <c r="AD17" s="23">
        <f>_xlfn.IFNA(VLOOKUP(VeredaTr12[[#This Row],[BUS]],_xlfn._xlws.SORT(TrCeib11[[BUS]:[T2]],11,-1,FALSE),11,FALSE),0)</f>
        <v>8.4722222222222254E-2</v>
      </c>
      <c r="AE17" s="23">
        <f>+VeredaTr12[[#This Row],[∑VeredaTr]]+VeredaTr12[[#This Row],[T2]]</f>
        <v>0.15833333333333335</v>
      </c>
      <c r="AL17">
        <v>14</v>
      </c>
      <c r="AM17" s="41">
        <f>VLOOKUP(AL17,_xlfn._xlws.SORT(VeredaTr12[[BUS]:[∑]],13,-1,FALSE),13,FALSE)</f>
        <v>0.19513888888888886</v>
      </c>
    </row>
    <row r="18" spans="1:39" x14ac:dyDescent="0.35">
      <c r="A18" t="s">
        <v>63</v>
      </c>
      <c r="B18" s="28">
        <v>13</v>
      </c>
      <c r="C18" s="23">
        <v>0.32083333333333336</v>
      </c>
      <c r="D18" s="23">
        <f>C18-C17</f>
        <v>5.5555555555555913E-3</v>
      </c>
      <c r="E18" s="23">
        <f>VLOOKUP(TrCeib11[[#This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(G18-C18)+TrCeib11[[#This Row],[Tt_tex]]</f>
        <v>4.2361111111111127E-2</v>
      </c>
      <c r="L18" s="30">
        <f>SUMIF(B$4:$B18,TrCeib11[[#This Row],[BUS]],$K$4:K18)</f>
        <v>4.2361111111111127E-2</v>
      </c>
      <c r="M18" s="23">
        <f>_xlfn.IFNA(VLOOKUP(TrCeib11[[#This Row],[BUS]],_xlfn._xlws.SORT(VeredaTr12[[BUS]:[T2]],11,-1,FALSE),11,FALSE),0)</f>
        <v>0.11041666666666661</v>
      </c>
      <c r="N18" s="23">
        <f>+TrCeib11[[#This Row],[∑TrCeib]]+TrCeib11[[#This Row],[T2]]</f>
        <v>0.15277777777777773</v>
      </c>
      <c r="O18" s="23"/>
      <c r="P18" s="40"/>
      <c r="Q18" s="22"/>
      <c r="R18" s="22"/>
      <c r="S18" s="28">
        <v>9</v>
      </c>
      <c r="T18" s="23">
        <v>0.32083333333333336</v>
      </c>
      <c r="U18" s="23">
        <f t="shared" si="3"/>
        <v>5.5555555555555913E-3</v>
      </c>
      <c r="V18" s="23">
        <f>VLOOKUP(VeredaTr12[[#This Row],[HORA]],'OFERTA (3)'!B:F,5,TRUE)</f>
        <v>5.5555555555555558E-3</v>
      </c>
      <c r="W18" s="23">
        <f t="shared" si="10"/>
        <v>3.6805555555555557E-2</v>
      </c>
      <c r="X18" s="23">
        <f t="shared" si="11"/>
        <v>0.3576388888888889</v>
      </c>
      <c r="Y18" s="23">
        <f t="shared" si="13"/>
        <v>0</v>
      </c>
      <c r="Z18" s="23"/>
      <c r="AA18" s="23">
        <f t="shared" si="4"/>
        <v>0.32083333333333336</v>
      </c>
      <c r="AB18" s="30">
        <f t="shared" si="12"/>
        <v>3.6805555555555536E-2</v>
      </c>
      <c r="AC18" s="30">
        <f>SUMIF($S$4:S18,S18,$AB$4:AB18)</f>
        <v>7.3611111111111099E-2</v>
      </c>
      <c r="AD18" s="23">
        <f>_xlfn.IFNA(VLOOKUP(VeredaTr12[[#This Row],[BUS]],_xlfn._xlws.SORT(TrCeib11[[BUS]:[T2]],11,-1,FALSE),11,FALSE),0)</f>
        <v>0.12638888888888894</v>
      </c>
      <c r="AE18" s="23">
        <f>+VeredaTr12[[#This Row],[∑VeredaTr]]+VeredaTr12[[#This Row],[T2]]</f>
        <v>0.20000000000000004</v>
      </c>
      <c r="AL18">
        <v>15</v>
      </c>
      <c r="AM18" s="41">
        <f>VLOOKUP(AL18,_xlfn._xlws.SORT(VeredaTr12[[BUS]:[∑]],13,-1,FALSE),13,FALSE)</f>
        <v>0.19444444444444448</v>
      </c>
    </row>
    <row r="19" spans="1:39" x14ac:dyDescent="0.35">
      <c r="B19" s="28">
        <v>4</v>
      </c>
      <c r="C19" s="23">
        <v>0.32430555555555551</v>
      </c>
      <c r="D19" s="23">
        <f t="shared" ref="D19" si="15">C19-C18</f>
        <v>3.4722222222221544E-3</v>
      </c>
      <c r="E19" s="23">
        <f>VLOOKUP(TrCeib11[[#This Row],[HORA]],'OFERTA (3)'!I:M,5,TRUE)</f>
        <v>5.5555555555555558E-3</v>
      </c>
      <c r="F19" s="23">
        <f t="shared" si="1"/>
        <v>4.2361111111111106E-2</v>
      </c>
      <c r="G19" s="23">
        <f t="shared" si="6"/>
        <v>0.36666666666666664</v>
      </c>
      <c r="H19" s="23">
        <f t="shared" si="7"/>
        <v>2.0833333333333814E-3</v>
      </c>
      <c r="I19" s="23"/>
      <c r="J19" s="23">
        <f t="shared" si="2"/>
        <v>0.3263888888888889</v>
      </c>
      <c r="K19" s="30">
        <f>(G19-C19)+TrCeib11[[#This Row],[Tt_tex]]</f>
        <v>4.2361111111111127E-2</v>
      </c>
      <c r="L19" s="30">
        <f>SUMIF(B$4:$B19,TrCeib11[[#This Row],[BUS]],$K$4:K19)</f>
        <v>8.3333333333333343E-2</v>
      </c>
      <c r="M19" s="23">
        <f>_xlfn.IFNA(VLOOKUP(TrCeib11[[#This Row],[BUS]],_xlfn._xlws.SORT(VeredaTr12[[BUS]:[T2]],11,-1,FALSE),11,FALSE),0)</f>
        <v>7.3611111111111072E-2</v>
      </c>
      <c r="N19" s="23">
        <f>+TrCeib11[[#This Row],[∑TrCeib]]+TrCeib11[[#This Row],[T2]]</f>
        <v>0.15694444444444441</v>
      </c>
      <c r="O19" s="23"/>
      <c r="P19" s="40"/>
      <c r="Q19"/>
      <c r="R19" s="22" t="s">
        <v>63</v>
      </c>
      <c r="S19" s="28">
        <v>16</v>
      </c>
      <c r="T19" s="23">
        <v>0.3263888888888889</v>
      </c>
      <c r="U19" s="23">
        <f>T19-T18</f>
        <v>5.5555555555555358E-3</v>
      </c>
      <c r="V19" s="23">
        <f>VLOOKUP(VeredaTr12[[#This Row],[HORA]],'OFERTA (3)'!B:F,5,TRUE)</f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_xlfn.IFNA(VLOOKUP(VeredaTr12[[#This Row],[BUS]],_xlfn._xlws.SORT(TrCeib11[[BUS]:[T2]],11,-1,FALSE),11,FALSE),0)</f>
        <v>4.2361111111111127E-2</v>
      </c>
      <c r="AE19" s="23">
        <f>+VeredaTr12[[#This Row],[∑VeredaTr]]+VeredaTr12[[#This Row],[T2]]</f>
        <v>7.9166666666666663E-2</v>
      </c>
      <c r="AL19">
        <v>16</v>
      </c>
      <c r="AM19" s="41">
        <f>VLOOKUP(AL19,_xlfn._xlws.SORT(VeredaTr12[[BUS]:[∑]],13,-1,FALSE),13,FALSE)</f>
        <v>0.1159722222222222</v>
      </c>
    </row>
    <row r="20" spans="1:39" x14ac:dyDescent="0.35">
      <c r="B20" s="28">
        <v>6</v>
      </c>
      <c r="C20" s="23">
        <v>0.3298611111111111</v>
      </c>
      <c r="D20" s="23">
        <f t="shared" si="0"/>
        <v>5.5555555555555913E-3</v>
      </c>
      <c r="E20" s="23">
        <f>VLOOKUP(TrCeib11[[#This Row],[HORA]],'OFERTA (3)'!I:M,5,TRUE)</f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7"/>
        <v>0</v>
      </c>
      <c r="I20" s="23"/>
      <c r="J20" s="23">
        <f>+C20+H20</f>
        <v>0.3298611111111111</v>
      </c>
      <c r="K20" s="30">
        <f>(G20-C20)+TrCeib11[[#This Row],[Tt_tex]]</f>
        <v>4.2361111111111127E-2</v>
      </c>
      <c r="L20" s="30">
        <f>SUMIF(B$4:$B20,TrCeib11[[#This Row],[BUS]],$K$4:K20)</f>
        <v>8.333333333333337E-2</v>
      </c>
      <c r="M20" s="23">
        <f>_xlfn.IFNA(VLOOKUP(TrCeib11[[#This Row],[BUS]],_xlfn._xlws.SORT(VeredaTr12[[BUS]:[T2]],11,-1,FALSE),11,FALSE),0)</f>
        <v>0.14722222222222214</v>
      </c>
      <c r="N20" s="23">
        <f>+TrCeib11[[#This Row],[∑TrCeib]]+TrCeib11[[#This Row],[T2]]</f>
        <v>0.23055555555555551</v>
      </c>
      <c r="O20" s="23"/>
      <c r="P20" s="40"/>
      <c r="Q20"/>
      <c r="R20" s="22"/>
      <c r="S20" s="28">
        <v>10</v>
      </c>
      <c r="T20" s="23">
        <v>0.33194444444444443</v>
      </c>
      <c r="U20" s="23">
        <f t="shared" ref="U20:U29" si="16">T20-T19</f>
        <v>5.5555555555555358E-3</v>
      </c>
      <c r="V20" s="23">
        <f>VLOOKUP(VeredaTr12[[#This Row],[HORA]],'OFERTA (3)'!B:F,5,TRUE)</f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7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_xlfn.IFNA(VLOOKUP(VeredaTr12[[#This Row],[BUS]],_xlfn._xlws.SORT(TrCeib11[[BUS]:[T2]],11,-1,FALSE),11,FALSE),0)</f>
        <v>0.12708333333333338</v>
      </c>
      <c r="AE20" s="23">
        <f>+VeredaTr12[[#This Row],[∑VeredaTr]]+VeredaTr12[[#This Row],[T2]]</f>
        <v>0.20069444444444445</v>
      </c>
      <c r="AL20">
        <v>17</v>
      </c>
      <c r="AM20" s="41" t="e">
        <f>VLOOKUP(AL20,_xlfn._xlws.SORT(VeredaTr12[[BUS]:[∑]],13,-1,FALSE),13,FALSE)</f>
        <v>#N/A</v>
      </c>
    </row>
    <row r="21" spans="1:39" x14ac:dyDescent="0.35">
      <c r="B21" s="28">
        <v>14</v>
      </c>
      <c r="C21" s="23">
        <v>0.33541666666666664</v>
      </c>
      <c r="D21" s="23">
        <f t="shared" si="0"/>
        <v>5.5555555555555358E-3</v>
      </c>
      <c r="E21" s="23">
        <f>VLOOKUP(TrCeib11[[#This Row],[HORA]],'OFERTA (3)'!I:M,5,TRUE)</f>
        <v>5.5555555555555558E-3</v>
      </c>
      <c r="F21" s="23">
        <f t="shared" si="1"/>
        <v>4.2361111111111106E-2</v>
      </c>
      <c r="G21" s="23">
        <f t="shared" si="6"/>
        <v>0.37777777777777777</v>
      </c>
      <c r="H21" s="23">
        <f t="shared" si="7"/>
        <v>0</v>
      </c>
      <c r="I21" s="23"/>
      <c r="J21" s="23">
        <f t="shared" si="2"/>
        <v>0.33541666666666664</v>
      </c>
      <c r="K21" s="30">
        <f>(G21-C21)+TrCeib11[[#This Row],[Tt_tex]]</f>
        <v>4.2361111111111127E-2</v>
      </c>
      <c r="L21" s="30">
        <f>SUMIF(B$4:$B21,TrCeib11[[#This Row],[BUS]],$K$4:K21)</f>
        <v>4.2361111111111127E-2</v>
      </c>
      <c r="M21" s="23">
        <f>_xlfn.IFNA(VLOOKUP(TrCeib11[[#This Row],[BUS]],_xlfn._xlws.SORT(VeredaTr12[[BUS]:[T2]],11,-1,FALSE),11,FALSE),0)</f>
        <v>0.11041666666666661</v>
      </c>
      <c r="N21" s="23">
        <f>+TrCeib11[[#This Row],[∑TrCeib]]+TrCeib11[[#This Row],[T2]]</f>
        <v>0.15277777777777773</v>
      </c>
      <c r="O21" s="23"/>
      <c r="P21" s="40"/>
      <c r="Q21" s="22"/>
      <c r="R21" s="22"/>
      <c r="S21" s="28">
        <v>1</v>
      </c>
      <c r="T21" s="23">
        <v>0.33958333333333335</v>
      </c>
      <c r="U21" s="23">
        <f t="shared" si="16"/>
        <v>7.6388888888889173E-3</v>
      </c>
      <c r="V21" s="23">
        <f>VLOOKUP(VeredaTr12[[#This Row],[HORA]],'OFERTA (3)'!B:F,5,TRUE)</f>
        <v>5.5555555555555558E-3</v>
      </c>
      <c r="W21" s="23">
        <f t="shared" si="10"/>
        <v>3.6805555555555557E-2</v>
      </c>
      <c r="X21" s="23">
        <f t="shared" si="11"/>
        <v>0.37638888888888888</v>
      </c>
      <c r="Y21" s="23">
        <f t="shared" si="13"/>
        <v>-2.0833333333333814E-3</v>
      </c>
      <c r="Z21" s="23"/>
      <c r="AA21" s="23">
        <f t="shared" si="4"/>
        <v>0.33749999999999997</v>
      </c>
      <c r="AB21" s="30">
        <f t="shared" si="12"/>
        <v>3.6805555555555536E-2</v>
      </c>
      <c r="AC21" s="30">
        <f>SUMIF($S$4:S21,S21,$AB$4:AB21)</f>
        <v>7.3611111111111072E-2</v>
      </c>
      <c r="AD21" s="23">
        <f>_xlfn.IFNA(VLOOKUP(VeredaTr12[[#This Row],[BUS]],_xlfn._xlws.SORT(TrCeib11[[BUS]:[T2]],11,-1,FALSE),11,FALSE),0)</f>
        <v>0.12708333333333338</v>
      </c>
      <c r="AE21" s="23">
        <f>+VeredaTr12[[#This Row],[∑VeredaTr]]+VeredaTr12[[#This Row],[T2]]</f>
        <v>0.20069444444444445</v>
      </c>
      <c r="AL21">
        <v>18</v>
      </c>
      <c r="AM21" s="41" t="e">
        <f>VLOOKUP(AL21,_xlfn._xlws.SORT(VeredaTr12[[BUS]:[∑]],13,-1,FALSE),13,FALSE)</f>
        <v>#N/A</v>
      </c>
    </row>
    <row r="22" spans="1:39" x14ac:dyDescent="0.35">
      <c r="B22" s="28">
        <v>7</v>
      </c>
      <c r="C22" s="23">
        <v>0.34097222222222218</v>
      </c>
      <c r="D22" s="23">
        <f t="shared" si="0"/>
        <v>5.5555555555555358E-3</v>
      </c>
      <c r="E22" s="23">
        <f>VLOOKUP(TrCeib11[[#This Row],[HORA]],'OFERTA (3)'!I:M,5,TRUE)</f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7"/>
        <v>0</v>
      </c>
      <c r="I22" s="23"/>
      <c r="J22" s="23">
        <f>+C22+H22</f>
        <v>0.34097222222222218</v>
      </c>
      <c r="K22" s="30">
        <f>(G22-C22)+TrCeib11[[#This Row],[Tt_tex]]</f>
        <v>4.2361111111111127E-2</v>
      </c>
      <c r="L22" s="30">
        <f>SUMIF(B$4:$B22,TrCeib11[[#This Row],[BUS]],$K$4:K22)</f>
        <v>8.4722222222222254E-2</v>
      </c>
      <c r="M22" s="23">
        <f>_xlfn.IFNA(VLOOKUP(TrCeib11[[#This Row],[BUS]],_xlfn._xlws.SORT(VeredaTr12[[BUS]:[T2]],11,-1,FALSE),11,FALSE),0)</f>
        <v>0.11041666666666664</v>
      </c>
      <c r="N22" s="23">
        <f>+TrCeib11[[#This Row],[∑TrCeib]]+TrCeib11[[#This Row],[T2]]</f>
        <v>0.19513888888888889</v>
      </c>
      <c r="O22" s="23"/>
      <c r="P22" s="40"/>
      <c r="Q22"/>
      <c r="R22" s="22"/>
      <c r="S22" s="28">
        <v>11</v>
      </c>
      <c r="T22" s="23">
        <v>0.34513888888888888</v>
      </c>
      <c r="U22" s="23">
        <f t="shared" si="3"/>
        <v>5.5555555555555358E-3</v>
      </c>
      <c r="V22" s="23">
        <f>VLOOKUP(VeredaTr12[[#This Row],[HORA]],'OFERTA (3)'!B:F,5,TRUE)</f>
        <v>5.5555555555555558E-3</v>
      </c>
      <c r="W22" s="23">
        <f>+$U$2</f>
        <v>3.6805555555555557E-2</v>
      </c>
      <c r="X22" s="23">
        <f>+T22+W22</f>
        <v>0.38194444444444442</v>
      </c>
      <c r="Y22" s="23">
        <f t="shared" si="13"/>
        <v>0</v>
      </c>
      <c r="Z22" s="23"/>
      <c r="AA22" s="23">
        <f>+T22+Y22</f>
        <v>0.34513888888888888</v>
      </c>
      <c r="AB22" s="30">
        <f>(X22-T22)</f>
        <v>3.6805555555555536E-2</v>
      </c>
      <c r="AC22" s="30">
        <f>SUMIF($S$4:S22,S22,$AB$4:AB22)</f>
        <v>3.6805555555555536E-2</v>
      </c>
      <c r="AD22" s="23">
        <f>_xlfn.IFNA(VLOOKUP(VeredaTr12[[#This Row],[BUS]],_xlfn._xlws.SORT(TrCeib11[[BUS]:[T2]],11,-1,FALSE),11,FALSE),0)</f>
        <v>0.12708333333333338</v>
      </c>
      <c r="AE22" s="23">
        <f>+VeredaTr12[[#This Row],[∑VeredaTr]]+VeredaTr12[[#This Row],[T2]]</f>
        <v>0.16388888888888892</v>
      </c>
      <c r="AL22">
        <v>19</v>
      </c>
      <c r="AM22" s="41" t="e">
        <f>VLOOKUP(AL22,_xlfn._xlws.SORT(VeredaTr12[[BUS]:[∑]],13,-1,FALSE),13,FALSE)</f>
        <v>#N/A</v>
      </c>
    </row>
    <row r="23" spans="1:39" x14ac:dyDescent="0.35">
      <c r="B23" s="28">
        <v>15</v>
      </c>
      <c r="C23" s="23">
        <v>0.34652777777777777</v>
      </c>
      <c r="D23" s="23">
        <f t="shared" si="0"/>
        <v>5.5555555555555913E-3</v>
      </c>
      <c r="E23" s="23">
        <f>VLOOKUP(TrCeib11[[#This Row],[HORA]],'OFERTA (3)'!I:M,5,TRUE)</f>
        <v>5.5555555555555558E-3</v>
      </c>
      <c r="F23" s="23">
        <f t="shared" si="1"/>
        <v>4.2361111111111106E-2</v>
      </c>
      <c r="G23" s="23">
        <f t="shared" si="6"/>
        <v>0.3888888888888889</v>
      </c>
      <c r="H23" s="23">
        <f t="shared" si="7"/>
        <v>0</v>
      </c>
      <c r="I23" s="23"/>
      <c r="J23" s="23">
        <f t="shared" si="2"/>
        <v>0.34652777777777777</v>
      </c>
      <c r="K23" s="30">
        <f>(G23-C23)+TrCeib11[[#This Row],[Tt_tex]]</f>
        <v>4.2361111111111127E-2</v>
      </c>
      <c r="L23" s="30">
        <f>SUMIF(B$4:$B42,TrCeib11[[#This Row],[BUS]],$K$4:K42)</f>
        <v>8.4722222222222254E-2</v>
      </c>
      <c r="M23" s="23">
        <f>_xlfn.IFNA(VLOOKUP(TrCeib11[[#This Row],[BUS]],_xlfn._xlws.SORT(VeredaTr12[[BUS]:[T2]],11,-1,FALSE),11,FALSE),0)</f>
        <v>0.10972222222222222</v>
      </c>
      <c r="N23" s="23">
        <f>+TrCeib11[[#This Row],[∑TrCeib]]+TrCeib11[[#This Row],[T2]]</f>
        <v>0.19444444444444448</v>
      </c>
      <c r="O23" s="23"/>
      <c r="P23" s="40"/>
      <c r="Q23"/>
      <c r="R23" s="22"/>
      <c r="S23" s="28">
        <v>2</v>
      </c>
      <c r="T23" s="23">
        <v>0.34861111111111115</v>
      </c>
      <c r="U23" s="23">
        <f t="shared" si="3"/>
        <v>3.4722222222222654E-3</v>
      </c>
      <c r="V23" s="23">
        <f>VLOOKUP(VeredaTr12[[#This Row],[HORA]],'OFERTA (3)'!B:F,5,TRUE)</f>
        <v>5.5555555555555558E-3</v>
      </c>
      <c r="W23" s="23">
        <f t="shared" si="10"/>
        <v>3.6805555555555557E-2</v>
      </c>
      <c r="X23" s="23">
        <f t="shared" si="11"/>
        <v>0.38541666666666669</v>
      </c>
      <c r="Y23" s="23">
        <f t="shared" si="13"/>
        <v>2.0833333333332704E-3</v>
      </c>
      <c r="Z23" s="23"/>
      <c r="AA23" s="23">
        <f t="shared" si="4"/>
        <v>0.35069444444444442</v>
      </c>
      <c r="AB23" s="30">
        <f t="shared" si="12"/>
        <v>3.6805555555555536E-2</v>
      </c>
      <c r="AC23" s="30">
        <f>SUMIF($S$4:S23,S23,$AB$4:AB23)</f>
        <v>7.3611111111111072E-2</v>
      </c>
      <c r="AD23" s="23">
        <f>_xlfn.IFNA(VLOOKUP(VeredaTr12[[#This Row],[BUS]],_xlfn._xlws.SORT(TrCeib11[[BUS]:[T2]],11,-1,FALSE),11,FALSE),0)</f>
        <v>0.12708333333333335</v>
      </c>
      <c r="AE23" s="23">
        <f>+VeredaTr12[[#This Row],[∑VeredaTr]]+VeredaTr12[[#This Row],[T2]]</f>
        <v>0.20069444444444443</v>
      </c>
      <c r="AL23">
        <v>20</v>
      </c>
      <c r="AM23" s="41" t="e">
        <f>VLOOKUP(AL23,_xlfn._xlws.SORT(VeredaTr12[[BUS]:[∑]],13,-1,FALSE),13,FALSE)</f>
        <v>#N/A</v>
      </c>
    </row>
    <row r="24" spans="1:39" x14ac:dyDescent="0.35">
      <c r="B24" s="28">
        <v>8</v>
      </c>
      <c r="C24" s="23">
        <v>0.3520833333333333</v>
      </c>
      <c r="D24" s="23">
        <f t="shared" si="0"/>
        <v>5.5555555555555358E-3</v>
      </c>
      <c r="E24" s="23">
        <f>VLOOKUP(TrCeib11[[#This Row],[HORA]],'OFERTA (3)'!I:M,5,TRUE)</f>
        <v>5.5555555555555558E-3</v>
      </c>
      <c r="F24" s="23">
        <f t="shared" si="1"/>
        <v>4.2361111111111106E-2</v>
      </c>
      <c r="G24" s="23">
        <f>C24+F24</f>
        <v>0.39444444444444443</v>
      </c>
      <c r="H24" s="23">
        <f t="shared" si="7"/>
        <v>0</v>
      </c>
      <c r="I24" s="23"/>
      <c r="J24" s="23">
        <f>+C24+H24</f>
        <v>0.3520833333333333</v>
      </c>
      <c r="K24" s="30">
        <f>(G24-C24)+TrCeib11[[#This Row],[Tt_tex]]</f>
        <v>4.2361111111111127E-2</v>
      </c>
      <c r="L24" s="30">
        <f>SUMIF(B$4:$B42,TrCeib11[[#This Row],[BUS]],$K$4:K42)</f>
        <v>8.4722222222222254E-2</v>
      </c>
      <c r="M24" s="23">
        <f>_xlfn.IFNA(VLOOKUP(TrCeib11[[#This Row],[BUS]],_xlfn._xlws.SORT(VeredaTr12[[BUS]:[T2]],11,-1,FALSE),11,FALSE),0)</f>
        <v>0.11041666666666664</v>
      </c>
      <c r="N24" s="23">
        <f>+TrCeib11[[#This Row],[∑TrCeib]]+TrCeib11[[#This Row],[T2]]</f>
        <v>0.19513888888888889</v>
      </c>
      <c r="O24" s="23"/>
      <c r="P24" s="40"/>
      <c r="Q24"/>
      <c r="R24" s="22"/>
      <c r="S24" s="28">
        <v>12</v>
      </c>
      <c r="T24" s="23">
        <v>0.35416666666666669</v>
      </c>
      <c r="U24" s="23">
        <f t="shared" si="3"/>
        <v>5.5555555555555358E-3</v>
      </c>
      <c r="V24" s="23">
        <f>VLOOKUP(VeredaTr12[[#This Row],[HORA]],'OFERTA (3)'!B:F,5,TRUE)</f>
        <v>5.5555555555555558E-3</v>
      </c>
      <c r="W24" s="23">
        <f t="shared" si="10"/>
        <v>3.6805555555555557E-2</v>
      </c>
      <c r="X24" s="23">
        <f t="shared" si="11"/>
        <v>0.39097222222222222</v>
      </c>
      <c r="Y24" s="23">
        <f t="shared" si="13"/>
        <v>0</v>
      </c>
      <c r="Z24" s="23"/>
      <c r="AA24" s="23">
        <f t="shared" si="4"/>
        <v>0.35416666666666669</v>
      </c>
      <c r="AB24" s="30">
        <f t="shared" si="12"/>
        <v>3.6805555555555536E-2</v>
      </c>
      <c r="AC24" s="30">
        <f>SUMIF($S$4:S46,S24,$AB$4:AB46)</f>
        <v>0.11041666666666661</v>
      </c>
      <c r="AD24" s="23">
        <f>_xlfn.IFNA(VLOOKUP(VeredaTr12[[#This Row],[BUS]],_xlfn._xlws.SORT(TrCeib11[[BUS]:[T2]],11,-1,FALSE),11,FALSE),0)</f>
        <v>0.12708333333333333</v>
      </c>
      <c r="AE24" s="23">
        <f>+VeredaTr12[[#This Row],[∑VeredaTr]]+VeredaTr12[[#This Row],[T2]]</f>
        <v>0.23749999999999993</v>
      </c>
      <c r="AL24">
        <v>21</v>
      </c>
      <c r="AM24" s="41" t="e">
        <f>VLOOKUP(AL24,_xlfn._xlws.SORT(VeredaTr12[[BUS]:[∑]],13,-1,FALSE),13,FALSE)</f>
        <v>#N/A</v>
      </c>
    </row>
    <row r="25" spans="1:39" x14ac:dyDescent="0.35">
      <c r="B25" s="28">
        <v>9</v>
      </c>
      <c r="C25" s="23">
        <v>0.3576388888888889</v>
      </c>
      <c r="D25" s="23">
        <f t="shared" si="0"/>
        <v>5.5555555555555913E-3</v>
      </c>
      <c r="E25" s="23">
        <f>VLOOKUP(TrCeib11[[#This Row],[HORA]],'OFERTA (3)'!I:M,5,TRUE)</f>
        <v>5.5555555555555558E-3</v>
      </c>
      <c r="F25" s="23">
        <f t="shared" ref="F25:F34" si="18">+$D$2</f>
        <v>4.2361111111111106E-2</v>
      </c>
      <c r="G25" s="23">
        <f t="shared" ref="G25:G34" si="19">C25+F25</f>
        <v>0.4</v>
      </c>
      <c r="H25" s="23">
        <f t="shared" ref="H25:H34" si="20">+(C24+E25)-C25</f>
        <v>0</v>
      </c>
      <c r="I25" s="23"/>
      <c r="J25" s="23">
        <f t="shared" ref="J25:J34" si="21">+C25+H25</f>
        <v>0.3576388888888889</v>
      </c>
      <c r="K25" s="30">
        <f>(G25-C25)+TrCeib11[[#This Row],[Tt_tex]]</f>
        <v>4.2361111111111127E-2</v>
      </c>
      <c r="L25" s="30">
        <f>SUMIF(B$4:$B25,TrCeib11[[#This Row],[BUS]],$K$4:K25)</f>
        <v>8.4027777777777812E-2</v>
      </c>
      <c r="M25" s="23">
        <f>_xlfn.IFNA(VLOOKUP(TrCeib11[[#This Row],[BUS]],_xlfn._xlws.SORT(VeredaTr12[[BUS]:[T2]],11,-1,FALSE),11,FALSE),0)</f>
        <v>0.14583333333333329</v>
      </c>
      <c r="N25" s="23">
        <f>+TrCeib11[[#This Row],[∑TrCeib]]+TrCeib11[[#This Row],[T2]]</f>
        <v>0.2298611111111111</v>
      </c>
      <c r="O25" s="23"/>
      <c r="P25" s="40"/>
      <c r="Q25"/>
      <c r="R25" s="22"/>
      <c r="S25" s="28">
        <v>3</v>
      </c>
      <c r="T25" s="23">
        <v>0.3576388888888889</v>
      </c>
      <c r="U25" s="23">
        <f t="shared" si="16"/>
        <v>3.4722222222222099E-3</v>
      </c>
      <c r="V25" s="23">
        <f>VLOOKUP(VeredaTr12[[#This Row],[HORA]],'OFERTA (3)'!B:F,5,TRUE)</f>
        <v>5.5555555555555558E-3</v>
      </c>
      <c r="W25" s="23">
        <f t="shared" ref="W25:W32" si="22">+$U$2</f>
        <v>3.6805555555555557E-2</v>
      </c>
      <c r="X25" s="23">
        <f t="shared" ref="X25:X32" si="23">+T25+W25</f>
        <v>0.39444444444444443</v>
      </c>
      <c r="Y25" s="23">
        <f t="shared" si="13"/>
        <v>2.0833333333333259E-3</v>
      </c>
      <c r="Z25" s="23"/>
      <c r="AA25" s="23">
        <f t="shared" ref="AA25:AA32" si="24">+T25+Y25</f>
        <v>0.35972222222222222</v>
      </c>
      <c r="AB25" s="30">
        <f t="shared" ref="AB25:AB32" si="25">(X25-T25)</f>
        <v>3.6805555555555536E-2</v>
      </c>
      <c r="AC25" s="30">
        <f>SUMIF($S$4:S25,S25,$AB$4:AB25)</f>
        <v>7.3611111111111072E-2</v>
      </c>
      <c r="AD25" s="23">
        <f>_xlfn.IFNA(VLOOKUP(VeredaTr12[[#This Row],[BUS]],_xlfn._xlws.SORT(TrCeib11[[BUS]:[T2]],11,-1,FALSE),11,FALSE),0)</f>
        <v>0.12708333333333338</v>
      </c>
      <c r="AE25" s="23">
        <f>+VeredaTr12[[#This Row],[∑VeredaTr]]+VeredaTr12[[#This Row],[T2]]</f>
        <v>0.20069444444444445</v>
      </c>
      <c r="AL25">
        <v>22</v>
      </c>
      <c r="AM25" s="41" t="e">
        <f>VLOOKUP(AL25,_xlfn._xlws.SORT(VeredaTr12[[BUS]:[∑]],13,-1,FALSE),13,FALSE)</f>
        <v>#N/A</v>
      </c>
    </row>
    <row r="26" spans="1:39" x14ac:dyDescent="0.35">
      <c r="B26" s="28">
        <v>16</v>
      </c>
      <c r="C26" s="23">
        <v>0.36319444444444443</v>
      </c>
      <c r="D26" s="23">
        <f t="shared" si="0"/>
        <v>5.5555555555555358E-3</v>
      </c>
      <c r="E26" s="23">
        <f>VLOOKUP(TrCeib11[[#This Row],[HORA]],'OFERTA (3)'!I:M,5,TRUE)</f>
        <v>5.5555555555555558E-3</v>
      </c>
      <c r="F26" s="23">
        <f t="shared" si="18"/>
        <v>4.2361111111111106E-2</v>
      </c>
      <c r="G26" s="23">
        <f t="shared" si="19"/>
        <v>0.40555555555555556</v>
      </c>
      <c r="H26" s="23">
        <f t="shared" si="20"/>
        <v>0</v>
      </c>
      <c r="I26" s="23"/>
      <c r="J26" s="23">
        <f t="shared" si="21"/>
        <v>0.36319444444444443</v>
      </c>
      <c r="K26" s="30">
        <f>(G26-C26)+TrCeib11[[#This Row],[Tt_tex]]</f>
        <v>4.2361111111111127E-2</v>
      </c>
      <c r="L26" s="30">
        <f>SUMIF(B$4:$B26,TrCeib11[[#This Row],[BUS]],$K$4:K26)</f>
        <v>4.2361111111111127E-2</v>
      </c>
      <c r="M26" s="23">
        <f>_xlfn.IFNA(VLOOKUP(TrCeib11[[#This Row],[BUS]],_xlfn._xlws.SORT(VeredaTr12[[BUS]:[T2]],11,-1,FALSE),11,FALSE),0)</f>
        <v>7.3611111111111072E-2</v>
      </c>
      <c r="N26" s="23">
        <f>+TrCeib11[[#This Row],[∑TrCeib]]+TrCeib11[[#This Row],[T2]]</f>
        <v>0.1159722222222222</v>
      </c>
      <c r="O26" s="23"/>
      <c r="P26" s="40"/>
      <c r="Q26"/>
      <c r="R26" s="22"/>
      <c r="S26" s="28">
        <v>13</v>
      </c>
      <c r="T26" s="23">
        <v>0.36319444444444449</v>
      </c>
      <c r="U26" s="23">
        <f t="shared" si="3"/>
        <v>5.5555555555555913E-3</v>
      </c>
      <c r="V26" s="23">
        <f>VLOOKUP(VeredaTr12[[#This Row],[HORA]],'OFERTA (3)'!B:F,5,TRUE)</f>
        <v>5.5555555555555558E-3</v>
      </c>
      <c r="W26" s="23">
        <f t="shared" si="22"/>
        <v>3.6805555555555557E-2</v>
      </c>
      <c r="X26" s="23">
        <f t="shared" si="23"/>
        <v>0.4</v>
      </c>
      <c r="Y26" s="23">
        <f t="shared" si="13"/>
        <v>0</v>
      </c>
      <c r="Z26" s="23"/>
      <c r="AA26" s="23">
        <f t="shared" si="24"/>
        <v>0.36319444444444449</v>
      </c>
      <c r="AB26" s="30">
        <f t="shared" si="25"/>
        <v>3.6805555555555536E-2</v>
      </c>
      <c r="AC26" s="30">
        <f>SUMIF($S$4:S26,S26,$AB$4:AB26)</f>
        <v>3.6805555555555536E-2</v>
      </c>
      <c r="AD26" s="23">
        <f>_xlfn.IFNA(VLOOKUP(VeredaTr12[[#This Row],[BUS]],_xlfn._xlws.SORT(TrCeib11[[BUS]:[T2]],11,-1,FALSE),11,FALSE),0)</f>
        <v>0.12708333333333338</v>
      </c>
      <c r="AE26" s="23">
        <f>+VeredaTr12[[#This Row],[∑VeredaTr]]+VeredaTr12[[#This Row],[T2]]</f>
        <v>0.16388888888888892</v>
      </c>
      <c r="AL26">
        <v>23</v>
      </c>
      <c r="AM26" s="41" t="e">
        <f>VLOOKUP(AL26,_xlfn._xlws.SORT(VeredaTr12[[BUS]:[∑]],13,-1,FALSE),13,FALSE)</f>
        <v>#N/A</v>
      </c>
    </row>
    <row r="27" spans="1:39" x14ac:dyDescent="0.35">
      <c r="B27" s="28">
        <v>10</v>
      </c>
      <c r="C27" s="23">
        <v>0.36874999999999997</v>
      </c>
      <c r="D27" s="23">
        <f t="shared" si="0"/>
        <v>5.5555555555555358E-3</v>
      </c>
      <c r="E27" s="23">
        <f>VLOOKUP(TrCeib11[[#This Row],[HORA]],'OFERTA (3)'!I:M,5,TRUE)</f>
        <v>5.5555555555555558E-3</v>
      </c>
      <c r="F27" s="23">
        <f t="shared" si="18"/>
        <v>4.2361111111111106E-2</v>
      </c>
      <c r="G27" s="23">
        <f t="shared" si="19"/>
        <v>0.41111111111111109</v>
      </c>
      <c r="H27" s="23">
        <f t="shared" si="20"/>
        <v>0</v>
      </c>
      <c r="I27" s="23"/>
      <c r="J27" s="23">
        <f t="shared" si="21"/>
        <v>0.36874999999999997</v>
      </c>
      <c r="K27" s="30">
        <f>(G27-C27)+TrCeib11[[#This Row],[Tt_tex]]</f>
        <v>4.2361111111111127E-2</v>
      </c>
      <c r="L27" s="30">
        <f>SUMIF(B$4:$B27,TrCeib11[[#This Row],[BUS]],$K$4:K27)</f>
        <v>8.4722222222222254E-2</v>
      </c>
      <c r="M27" s="23">
        <f>_xlfn.IFNA(VLOOKUP(TrCeib11[[#This Row],[BUS]],_xlfn._xlws.SORT(VeredaTr12[[BUS]:[T2]],11,-1,FALSE),11,FALSE),0)</f>
        <v>0.14513888888888887</v>
      </c>
      <c r="N27" s="23">
        <f>+TrCeib11[[#This Row],[∑TrCeib]]+TrCeib11[[#This Row],[T2]]</f>
        <v>0.22986111111111113</v>
      </c>
      <c r="O27" s="23"/>
      <c r="P27" s="40"/>
      <c r="Q27"/>
      <c r="R27" s="22"/>
      <c r="S27" s="28">
        <v>4</v>
      </c>
      <c r="T27" s="23">
        <v>0.36666666666666664</v>
      </c>
      <c r="U27" s="23">
        <f t="shared" si="3"/>
        <v>3.4722222222221544E-3</v>
      </c>
      <c r="V27" s="23">
        <f>VLOOKUP(VeredaTr12[[#This Row],[HORA]],'OFERTA (3)'!B:F,5,TRUE)</f>
        <v>5.5555555555555558E-3</v>
      </c>
      <c r="W27" s="23">
        <f t="shared" si="22"/>
        <v>3.6805555555555557E-2</v>
      </c>
      <c r="X27" s="23">
        <f t="shared" si="23"/>
        <v>0.40347222222222218</v>
      </c>
      <c r="Y27" s="23">
        <f t="shared" si="13"/>
        <v>2.0833333333333814E-3</v>
      </c>
      <c r="Z27" s="23"/>
      <c r="AA27" s="23">
        <f t="shared" si="24"/>
        <v>0.36875000000000002</v>
      </c>
      <c r="AB27" s="30">
        <f t="shared" si="25"/>
        <v>3.6805555555555536E-2</v>
      </c>
      <c r="AC27" s="30">
        <f>SUMIF($S$4:S27,S27,$AB$4:AB27)</f>
        <v>7.3611111111111072E-2</v>
      </c>
      <c r="AD27" s="23">
        <f>_xlfn.IFNA(VLOOKUP(VeredaTr12[[#This Row],[BUS]],_xlfn._xlws.SORT(TrCeib11[[BUS]:[T2]],11,-1,FALSE),11,FALSE),0)</f>
        <v>0.12569444444444447</v>
      </c>
      <c r="AE27" s="23">
        <f>+VeredaTr12[[#This Row],[∑VeredaTr]]+VeredaTr12[[#This Row],[T2]]</f>
        <v>0.19930555555555554</v>
      </c>
      <c r="AL27">
        <v>24</v>
      </c>
      <c r="AM27" s="41" t="e">
        <f>VLOOKUP(AL27,_xlfn._xlws.SORT(VeredaTr12[[BUS]:[∑]],13,-1,FALSE),13,FALSE)</f>
        <v>#N/A</v>
      </c>
    </row>
    <row r="28" spans="1:39" x14ac:dyDescent="0.35">
      <c r="A28" t="s">
        <v>70</v>
      </c>
      <c r="B28" s="28">
        <v>1</v>
      </c>
      <c r="C28" s="23">
        <v>0.37638888888888888</v>
      </c>
      <c r="D28" s="23">
        <f t="shared" si="0"/>
        <v>7.6388888888889173E-3</v>
      </c>
      <c r="E28" s="23">
        <f>VLOOKUP(TrCeib11[[#This Row],[HORA]],'OFERTA (3)'!I:M,5,TRUE)</f>
        <v>5.5555555555555558E-3</v>
      </c>
      <c r="F28" s="23">
        <f t="shared" si="18"/>
        <v>4.2361111111111106E-2</v>
      </c>
      <c r="G28" s="23">
        <f t="shared" si="19"/>
        <v>0.41875000000000001</v>
      </c>
      <c r="H28" s="23">
        <f t="shared" si="20"/>
        <v>-2.0833333333333814E-3</v>
      </c>
      <c r="I28" s="23"/>
      <c r="J28" s="23">
        <f t="shared" si="21"/>
        <v>0.3743055555555555</v>
      </c>
      <c r="K28" s="30">
        <f>(G28-C28)+TrCeib11[[#This Row],[Tt_tex]]</f>
        <v>4.2361111111111127E-2</v>
      </c>
      <c r="L28" s="30">
        <f>SUMIF(B$4:$B28,TrCeib11[[#This Row],[BUS]],$K$4:K28)</f>
        <v>0.12708333333333338</v>
      </c>
      <c r="M28" s="23">
        <f>_xlfn.IFNA(VLOOKUP(TrCeib11[[#This Row],[BUS]],_xlfn._xlws.SORT(VeredaTr12[[BUS]:[T2]],11,-1,FALSE),11,FALSE),0)</f>
        <v>7.3611111111111072E-2</v>
      </c>
      <c r="N28" s="23">
        <f>+TrCeib11[[#This Row],[∑TrCeib]]+TrCeib11[[#This Row],[T2]]</f>
        <v>0.20069444444444445</v>
      </c>
      <c r="O28" s="23"/>
      <c r="P28" s="40"/>
      <c r="Q28"/>
      <c r="R28" s="22"/>
      <c r="S28" s="28">
        <v>6</v>
      </c>
      <c r="T28" s="23">
        <v>0.37222222222222223</v>
      </c>
      <c r="U28" s="23">
        <f t="shared" si="3"/>
        <v>5.5555555555555913E-3</v>
      </c>
      <c r="V28" s="23">
        <f>VLOOKUP(VeredaTr12[[#This Row],[HORA]],'OFERTA (3)'!B:F,5,TRUE)</f>
        <v>5.5555555555555558E-3</v>
      </c>
      <c r="W28" s="23">
        <f t="shared" si="22"/>
        <v>3.6805555555555557E-2</v>
      </c>
      <c r="X28" s="23">
        <f t="shared" si="23"/>
        <v>0.40902777777777777</v>
      </c>
      <c r="Y28" s="23">
        <f t="shared" si="13"/>
        <v>0</v>
      </c>
      <c r="Z28" s="23"/>
      <c r="AA28" s="23">
        <f t="shared" si="24"/>
        <v>0.37222222222222223</v>
      </c>
      <c r="AB28" s="30">
        <f t="shared" si="25"/>
        <v>3.6805555555555536E-2</v>
      </c>
      <c r="AC28" s="30">
        <f>SUMIF($S$4:S28,S28,$AB$4:AB28)</f>
        <v>0.11041666666666661</v>
      </c>
      <c r="AD28" s="23">
        <f>_xlfn.IFNA(VLOOKUP(VeredaTr12[[#This Row],[BUS]],_xlfn._xlws.SORT(TrCeib11[[BUS]:[T2]],11,-1,FALSE),11,FALSE),0)</f>
        <v>0.1256944444444445</v>
      </c>
      <c r="AE28" s="23">
        <f>+VeredaTr12[[#This Row],[∑VeredaTr]]+VeredaTr12[[#This Row],[T2]]</f>
        <v>0.2361111111111111</v>
      </c>
    </row>
    <row r="29" spans="1:39" x14ac:dyDescent="0.35">
      <c r="B29" s="28">
        <v>11</v>
      </c>
      <c r="C29" s="23">
        <v>0.38194444444444442</v>
      </c>
      <c r="D29" s="23">
        <f t="shared" si="0"/>
        <v>5.5555555555555358E-3</v>
      </c>
      <c r="E29" s="23">
        <f>VLOOKUP(TrCeib11[[#This Row],[HORA]],'OFERTA (3)'!I:M,5,TRUE)</f>
        <v>5.5555555555555558E-3</v>
      </c>
      <c r="F29" s="23">
        <f t="shared" si="18"/>
        <v>4.2361111111111106E-2</v>
      </c>
      <c r="G29" s="23">
        <f t="shared" si="19"/>
        <v>0.42430555555555555</v>
      </c>
      <c r="H29" s="23">
        <f t="shared" si="20"/>
        <v>0</v>
      </c>
      <c r="I29" s="23"/>
      <c r="J29" s="23">
        <f t="shared" si="21"/>
        <v>0.38194444444444442</v>
      </c>
      <c r="K29" s="30">
        <f>(G29-C29)+TrCeib11[[#This Row],[Tt_tex]]</f>
        <v>4.2361111111111127E-2</v>
      </c>
      <c r="L29" s="30">
        <f>SUMIF(B$4:$B29,TrCeib11[[#This Row],[BUS]],$K$4:K29)</f>
        <v>8.4722222222222254E-2</v>
      </c>
      <c r="M29" s="23">
        <f>_xlfn.IFNA(VLOOKUP(TrCeib11[[#This Row],[BUS]],_xlfn._xlws.SORT(VeredaTr12[[BUS]:[T2]],11,-1,FALSE),11,FALSE),0)</f>
        <v>0.11041666666666661</v>
      </c>
      <c r="N29" s="23">
        <f>+TrCeib11[[#This Row],[∑TrCeib]]+TrCeib11[[#This Row],[T2]]</f>
        <v>0.19513888888888886</v>
      </c>
      <c r="O29" s="23"/>
      <c r="P29" s="40"/>
      <c r="Q29"/>
      <c r="R29" s="22"/>
      <c r="S29" s="28">
        <v>14</v>
      </c>
      <c r="T29" s="23">
        <v>0.37777777777777777</v>
      </c>
      <c r="U29" s="23">
        <f t="shared" si="16"/>
        <v>5.5555555555555358E-3</v>
      </c>
      <c r="V29" s="23">
        <f>VLOOKUP(VeredaTr12[[#This Row],[HORA]],'OFERTA (3)'!B:F,5,TRUE)</f>
        <v>5.5555555555555558E-3</v>
      </c>
      <c r="W29" s="23">
        <f t="shared" si="22"/>
        <v>3.6805555555555557E-2</v>
      </c>
      <c r="X29" s="23">
        <f t="shared" si="23"/>
        <v>0.4145833333333333</v>
      </c>
      <c r="Y29" s="23">
        <f t="shared" si="13"/>
        <v>0</v>
      </c>
      <c r="Z29" s="23"/>
      <c r="AA29" s="23">
        <f t="shared" si="24"/>
        <v>0.37777777777777777</v>
      </c>
      <c r="AB29" s="30">
        <f t="shared" si="25"/>
        <v>3.6805555555555536E-2</v>
      </c>
      <c r="AC29" s="30">
        <f>SUMIF($S$4:S29,S29,$AB$4:AB29)</f>
        <v>7.3611111111111072E-2</v>
      </c>
      <c r="AD29" s="23">
        <f>_xlfn.IFNA(VLOOKUP(VeredaTr12[[#This Row],[BUS]],_xlfn._xlws.SORT(TrCeib11[[BUS]:[T2]],11,-1,FALSE),11,FALSE),0)</f>
        <v>8.4722222222222254E-2</v>
      </c>
      <c r="AE29" s="23">
        <f>+VeredaTr12[[#This Row],[∑VeredaTr]]+VeredaTr12[[#This Row],[T2]]</f>
        <v>0.15833333333333333</v>
      </c>
    </row>
    <row r="30" spans="1:39" x14ac:dyDescent="0.35">
      <c r="A30" t="s">
        <v>70</v>
      </c>
      <c r="B30" s="28">
        <v>2</v>
      </c>
      <c r="C30" s="23">
        <v>0.38541666666666669</v>
      </c>
      <c r="D30" s="23">
        <f t="shared" si="0"/>
        <v>3.4722222222222654E-3</v>
      </c>
      <c r="E30" s="23">
        <f>VLOOKUP(TrCeib11[[#This Row],[HORA]],'OFERTA (3)'!I:M,5,TRUE)</f>
        <v>5.5555555555555558E-3</v>
      </c>
      <c r="F30" s="23">
        <f t="shared" si="18"/>
        <v>4.2361111111111106E-2</v>
      </c>
      <c r="G30" s="23">
        <f t="shared" si="19"/>
        <v>0.42777777777777781</v>
      </c>
      <c r="H30" s="23">
        <f t="shared" si="20"/>
        <v>2.0833333333332704E-3</v>
      </c>
      <c r="I30" s="23"/>
      <c r="J30" s="23">
        <f t="shared" si="21"/>
        <v>0.38749999999999996</v>
      </c>
      <c r="K30" s="30">
        <f>(G30-C30)+TrCeib11[[#This Row],[Tt_tex]]</f>
        <v>4.2361111111111127E-2</v>
      </c>
      <c r="L30" s="30">
        <f>SUMIF(B$4:$B30,TrCeib11[[#This Row],[BUS]],$K$4:K30)</f>
        <v>0.12708333333333335</v>
      </c>
      <c r="M30" s="23">
        <f>_xlfn.IFNA(VLOOKUP(TrCeib11[[#This Row],[BUS]],_xlfn._xlws.SORT(VeredaTr12[[BUS]:[T2]],11,-1,FALSE),11,FALSE),0)</f>
        <v>7.3611111111111072E-2</v>
      </c>
      <c r="N30" s="23">
        <f>+TrCeib11[[#This Row],[∑TrCeib]]+TrCeib11[[#This Row],[T2]]</f>
        <v>0.20069444444444443</v>
      </c>
      <c r="O30" s="23"/>
      <c r="P30" s="40"/>
      <c r="Q30"/>
      <c r="R30" s="22" t="s">
        <v>70</v>
      </c>
      <c r="S30" s="28">
        <v>7</v>
      </c>
      <c r="T30" s="23">
        <v>0.3833333333333333</v>
      </c>
      <c r="U30" s="23">
        <f t="shared" si="3"/>
        <v>5.5555555555555358E-3</v>
      </c>
      <c r="V30" s="23">
        <f>VLOOKUP(VeredaTr12[[#This Row],[HORA]],'OFERTA (3)'!B:F,5,TRUE)</f>
        <v>5.5555555555555558E-3</v>
      </c>
      <c r="W30" s="23">
        <f t="shared" si="22"/>
        <v>3.6805555555555557E-2</v>
      </c>
      <c r="X30" s="23">
        <f t="shared" si="23"/>
        <v>0.42013888888888884</v>
      </c>
      <c r="Y30" s="23">
        <f t="shared" si="13"/>
        <v>0</v>
      </c>
      <c r="Z30" s="23"/>
      <c r="AA30" s="23">
        <f t="shared" si="24"/>
        <v>0.3833333333333333</v>
      </c>
      <c r="AB30" s="30">
        <f t="shared" si="25"/>
        <v>3.6805555555555536E-2</v>
      </c>
      <c r="AC30" s="30">
        <f>SUMIF($S$4:S30,S30,$AB$4:AB30)</f>
        <v>0.11041666666666664</v>
      </c>
      <c r="AD30" s="23">
        <f>_xlfn.IFNA(VLOOKUP(VeredaTr12[[#This Row],[BUS]],_xlfn._xlws.SORT(TrCeib11[[BUS]:[T2]],11,-1,FALSE),11,FALSE),0)</f>
        <v>8.4722222222222254E-2</v>
      </c>
      <c r="AE30" s="23">
        <f>+VeredaTr12[[#This Row],[∑VeredaTr]]+VeredaTr12[[#This Row],[T2]]</f>
        <v>0.19513888888888889</v>
      </c>
    </row>
    <row r="31" spans="1:39" x14ac:dyDescent="0.35">
      <c r="B31" s="28">
        <v>12</v>
      </c>
      <c r="C31" s="23">
        <v>0.39097222222222222</v>
      </c>
      <c r="D31" s="23">
        <f t="shared" si="0"/>
        <v>5.5555555555555358E-3</v>
      </c>
      <c r="E31" s="23">
        <f>VLOOKUP(TrCeib11[[#This Row],[HORA]],'OFERTA (3)'!I:M,5,TRUE)</f>
        <v>5.5555555555555558E-3</v>
      </c>
      <c r="F31" s="23">
        <f t="shared" si="18"/>
        <v>4.2361111111111106E-2</v>
      </c>
      <c r="G31" s="23">
        <f t="shared" si="19"/>
        <v>0.43333333333333335</v>
      </c>
      <c r="H31" s="23">
        <f t="shared" si="20"/>
        <v>0</v>
      </c>
      <c r="I31" s="23"/>
      <c r="J31" s="23">
        <f t="shared" si="21"/>
        <v>0.39097222222222222</v>
      </c>
      <c r="K31" s="30">
        <f>(G31-C31)+TrCeib11[[#This Row],[Tt_tex]]</f>
        <v>4.2361111111111127E-2</v>
      </c>
      <c r="L31" s="30">
        <f>SUMIF(B$4:$B31,TrCeib11[[#This Row],[BUS]],$K$4:K31)</f>
        <v>8.4722222222222254E-2</v>
      </c>
      <c r="M31" s="23">
        <f>_xlfn.IFNA(VLOOKUP(TrCeib11[[#This Row],[BUS]],_xlfn._xlws.SORT(VeredaTr12[[BUS]:[T2]],11,-1,FALSE),11,FALSE),0)</f>
        <v>0.11041666666666661</v>
      </c>
      <c r="N31" s="23">
        <f>+TrCeib11[[#This Row],[∑TrCeib]]+TrCeib11[[#This Row],[T2]]</f>
        <v>0.19513888888888886</v>
      </c>
      <c r="O31" s="23"/>
      <c r="P31" s="40"/>
      <c r="Q31"/>
      <c r="R31" s="22"/>
      <c r="S31" s="28">
        <v>15</v>
      </c>
      <c r="T31" s="23">
        <v>0.3888888888888889</v>
      </c>
      <c r="U31" s="23">
        <f t="shared" si="3"/>
        <v>5.5555555555555913E-3</v>
      </c>
      <c r="V31" s="23">
        <f>VLOOKUP(VeredaTr12[[#This Row],[HORA]],'OFERTA (3)'!B:F,5,TRUE)</f>
        <v>5.5555555555555558E-3</v>
      </c>
      <c r="W31" s="47">
        <v>3.6111111111111115E-2</v>
      </c>
      <c r="X31" s="23">
        <f t="shared" si="23"/>
        <v>0.42499999999999999</v>
      </c>
      <c r="Y31" s="23">
        <f t="shared" si="13"/>
        <v>0</v>
      </c>
      <c r="Z31" s="23"/>
      <c r="AA31" s="23">
        <f t="shared" si="24"/>
        <v>0.3888888888888889</v>
      </c>
      <c r="AB31" s="30">
        <f t="shared" si="25"/>
        <v>3.6111111111111094E-2</v>
      </c>
      <c r="AC31" s="30">
        <f>SUMIF($S$4:S31,S31,$AB$4:AB31)</f>
        <v>7.291666666666663E-2</v>
      </c>
      <c r="AD31" s="23">
        <f>_xlfn.IFNA(VLOOKUP(VeredaTr12[[#This Row],[BUS]],_xlfn._xlws.SORT(TrCeib11[[BUS]:[T2]],11,-1,FALSE),11,FALSE),0)</f>
        <v>8.4722222222222254E-2</v>
      </c>
      <c r="AE31" s="23">
        <f>+VeredaTr12[[#This Row],[∑VeredaTr]]+VeredaTr12[[#This Row],[T2]]</f>
        <v>0.15763888888888888</v>
      </c>
    </row>
    <row r="32" spans="1:39" x14ac:dyDescent="0.35">
      <c r="A32" t="s">
        <v>70</v>
      </c>
      <c r="B32" s="28">
        <v>3</v>
      </c>
      <c r="C32" s="23">
        <v>0.39444444444444443</v>
      </c>
      <c r="D32" s="23">
        <f t="shared" si="0"/>
        <v>3.4722222222222099E-3</v>
      </c>
      <c r="E32" s="23">
        <f>VLOOKUP(TrCeib11[[#This Row],[HORA]],'OFERTA (3)'!I:M,5,TRUE)</f>
        <v>5.5555555555555558E-3</v>
      </c>
      <c r="F32" s="23">
        <f t="shared" si="18"/>
        <v>4.2361111111111106E-2</v>
      </c>
      <c r="G32" s="23">
        <f t="shared" si="19"/>
        <v>0.43680555555555556</v>
      </c>
      <c r="H32" s="23">
        <f t="shared" si="20"/>
        <v>2.0833333333333259E-3</v>
      </c>
      <c r="I32" s="23"/>
      <c r="J32" s="23">
        <f t="shared" si="21"/>
        <v>0.39652777777777776</v>
      </c>
      <c r="K32" s="30">
        <f>(G32-C32)+TrCeib11[[#This Row],[Tt_tex]]</f>
        <v>4.2361111111111127E-2</v>
      </c>
      <c r="L32" s="30">
        <f>SUMIF(B$4:$B32,TrCeib11[[#This Row],[BUS]],$K$4:K32)</f>
        <v>0.12708333333333338</v>
      </c>
      <c r="M32" s="23">
        <f>_xlfn.IFNA(VLOOKUP(TrCeib11[[#This Row],[BUS]],_xlfn._xlws.SORT(VeredaTr12[[BUS]:[T2]],11,-1,FALSE),11,FALSE),0)</f>
        <v>7.3611111111111072E-2</v>
      </c>
      <c r="N32" s="23">
        <f>+TrCeib11[[#This Row],[∑TrCeib]]+TrCeib11[[#This Row],[T2]]</f>
        <v>0.20069444444444445</v>
      </c>
      <c r="O32" s="23"/>
      <c r="P32" s="40"/>
      <c r="Q32"/>
      <c r="R32" s="22" t="s">
        <v>70</v>
      </c>
      <c r="S32" s="28">
        <v>8</v>
      </c>
      <c r="T32" s="23">
        <v>0.39444444444444443</v>
      </c>
      <c r="U32" s="23">
        <f t="shared" si="3"/>
        <v>5.5555555555555358E-3</v>
      </c>
      <c r="V32" s="23">
        <f>VLOOKUP(VeredaTr12[[#This Row],[HORA]],'OFERTA (3)'!B:F,5,TRUE)</f>
        <v>5.5555555555555558E-3</v>
      </c>
      <c r="W32" s="23">
        <f t="shared" si="22"/>
        <v>3.6805555555555557E-2</v>
      </c>
      <c r="X32" s="23">
        <f t="shared" si="23"/>
        <v>0.43124999999999997</v>
      </c>
      <c r="Y32" s="23">
        <f t="shared" si="13"/>
        <v>0</v>
      </c>
      <c r="Z32" s="23"/>
      <c r="AA32" s="23">
        <f t="shared" si="24"/>
        <v>0.39444444444444443</v>
      </c>
      <c r="AB32" s="30">
        <f t="shared" si="25"/>
        <v>3.6805555555555536E-2</v>
      </c>
      <c r="AC32" s="30">
        <f>SUMIF($S$4:S46,S32,$AB$4:AB46)</f>
        <v>0.11041666666666664</v>
      </c>
      <c r="AD32" s="23">
        <f>_xlfn.IFNA(VLOOKUP(VeredaTr12[[#This Row],[BUS]],_xlfn._xlws.SORT(TrCeib11[[BUS]:[T2]],11,-1,FALSE),11,FALSE),0)</f>
        <v>8.4722222222222254E-2</v>
      </c>
      <c r="AE32" s="23">
        <f>+VeredaTr12[[#This Row],[∑VeredaTr]]+VeredaTr12[[#This Row],[T2]]</f>
        <v>0.19513888888888889</v>
      </c>
    </row>
    <row r="33" spans="1:31" x14ac:dyDescent="0.35">
      <c r="B33" s="28">
        <v>13</v>
      </c>
      <c r="C33" s="23">
        <v>0.4</v>
      </c>
      <c r="D33" s="23">
        <f t="shared" si="0"/>
        <v>5.5555555555555913E-3</v>
      </c>
      <c r="E33" s="23">
        <f>VLOOKUP(TrCeib11[[#This Row],[HORA]],'OFERTA (3)'!I:M,5,TRUE)</f>
        <v>1.0416666666666666E-2</v>
      </c>
      <c r="F33" s="23">
        <f t="shared" si="18"/>
        <v>4.2361111111111106E-2</v>
      </c>
      <c r="G33" s="23">
        <f t="shared" si="19"/>
        <v>0.44236111111111115</v>
      </c>
      <c r="H33" s="23">
        <f t="shared" si="20"/>
        <v>4.8611111111110938E-3</v>
      </c>
      <c r="I33" s="23"/>
      <c r="J33" s="23">
        <f t="shared" si="21"/>
        <v>0.40486111111111112</v>
      </c>
      <c r="K33" s="30">
        <f>(G33-C33)+TrCeib11[[#This Row],[Tt_tex]]</f>
        <v>4.2361111111111127E-2</v>
      </c>
      <c r="L33" s="30">
        <f>SUMIF(B$4:$B33,TrCeib11[[#This Row],[BUS]],$K$4:K33)</f>
        <v>8.4722222222222254E-2</v>
      </c>
      <c r="M33" s="23">
        <f>_xlfn.IFNA(VLOOKUP(TrCeib11[[#This Row],[BUS]],_xlfn._xlws.SORT(VeredaTr12[[BUS]:[T2]],11,-1,FALSE),11,FALSE),0)</f>
        <v>0.11041666666666661</v>
      </c>
      <c r="N33" s="23">
        <f>+TrCeib11[[#This Row],[∑TrCeib]]+TrCeib11[[#This Row],[T2]]</f>
        <v>0.19513888888888886</v>
      </c>
      <c r="O33" s="23"/>
      <c r="P33" s="40"/>
      <c r="Q33"/>
      <c r="R33" s="22"/>
      <c r="S33" s="28">
        <v>9</v>
      </c>
      <c r="T33" s="23">
        <v>0.4</v>
      </c>
      <c r="U33" s="23">
        <f t="shared" si="3"/>
        <v>5.5555555555555913E-3</v>
      </c>
      <c r="V33" s="23">
        <f>VLOOKUP(VeredaTr12[[#This Row],[HORA]],'OFERTA (3)'!B:F,5,TRUE)</f>
        <v>1.0416666666666666E-2</v>
      </c>
      <c r="W33" s="47">
        <v>3.5416666666666666E-2</v>
      </c>
      <c r="X33" s="23">
        <f t="shared" ref="X33:X38" si="26">+T33+W33</f>
        <v>0.43541666666666667</v>
      </c>
      <c r="Y33" s="23">
        <f t="shared" ref="Y33:Y46" si="27">+(T32+V33)-T33</f>
        <v>4.8611111111110938E-3</v>
      </c>
      <c r="Z33" s="23"/>
      <c r="AA33" s="23">
        <f t="shared" ref="AA33:AA38" si="28">+T33+Y33</f>
        <v>0.40486111111111112</v>
      </c>
      <c r="AB33" s="30">
        <f t="shared" ref="AB33:AB38" si="29">(X33-T33)</f>
        <v>3.5416666666666652E-2</v>
      </c>
      <c r="AC33" s="30">
        <f>SUMIF($S$4:S33,S33,$AB$4:AB33)</f>
        <v>0.10902777777777775</v>
      </c>
      <c r="AD33" s="23">
        <f>_xlfn.IFNA(VLOOKUP(VeredaTr12[[#This Row],[BUS]],_xlfn._xlws.SORT(TrCeib11[[BUS]:[T2]],11,-1,FALSE),11,FALSE),0)</f>
        <v>0.12638888888888894</v>
      </c>
      <c r="AE33" s="23">
        <f>+VeredaTr12[[#This Row],[∑VeredaTr]]+VeredaTr12[[#This Row],[T2]]</f>
        <v>0.23541666666666669</v>
      </c>
    </row>
    <row r="34" spans="1:31" x14ac:dyDescent="0.35">
      <c r="A34" t="s">
        <v>70</v>
      </c>
      <c r="B34" s="28">
        <v>4</v>
      </c>
      <c r="C34" s="23">
        <v>0.40347222222222218</v>
      </c>
      <c r="D34" s="23">
        <f t="shared" si="0"/>
        <v>3.4722222222221544E-3</v>
      </c>
      <c r="E34" s="23">
        <f>VLOOKUP(TrCeib11[[#This Row],[HORA]],'OFERTA (3)'!I:M,5,TRUE)</f>
        <v>1.0416666666666666E-2</v>
      </c>
      <c r="F34" s="23">
        <f t="shared" si="18"/>
        <v>4.2361111111111106E-2</v>
      </c>
      <c r="G34" s="23">
        <f t="shared" si="19"/>
        <v>0.4458333333333333</v>
      </c>
      <c r="H34" s="23">
        <f t="shared" si="20"/>
        <v>6.9444444444445308E-3</v>
      </c>
      <c r="I34" s="23"/>
      <c r="J34" s="23">
        <f t="shared" si="21"/>
        <v>0.41041666666666671</v>
      </c>
      <c r="K34" s="30">
        <f>(G34-C34)+TrCeib11[[#This Row],[Tt_tex]]</f>
        <v>4.2361111111111127E-2</v>
      </c>
      <c r="L34" s="30">
        <f>SUMIF(B$4:$B42,TrCeib11[[#This Row],[BUS]],$K$4:K42)</f>
        <v>0.12569444444444447</v>
      </c>
      <c r="M34" s="23">
        <f>_xlfn.IFNA(VLOOKUP(TrCeib11[[#This Row],[BUS]],_xlfn._xlws.SORT(VeredaTr12[[BUS]:[T2]],11,-1,FALSE),11,FALSE),0)</f>
        <v>7.3611111111111072E-2</v>
      </c>
      <c r="N34" s="23">
        <f>+TrCeib11[[#This Row],[∑TrCeib]]+TrCeib11[[#This Row],[T2]]</f>
        <v>0.19930555555555554</v>
      </c>
      <c r="O34" s="23"/>
      <c r="P34" s="40"/>
      <c r="Q34"/>
      <c r="R34" s="22" t="s">
        <v>70</v>
      </c>
      <c r="S34" s="28">
        <v>16</v>
      </c>
      <c r="T34" s="23">
        <v>0.40555555555555556</v>
      </c>
      <c r="U34" s="23">
        <f t="shared" si="3"/>
        <v>5.5555555555555358E-3</v>
      </c>
      <c r="V34" s="23">
        <f>VLOOKUP(VeredaTr12[[#This Row],[HORA]],'OFERTA (3)'!B:F,5,TRUE)</f>
        <v>1.0416666666666666E-2</v>
      </c>
      <c r="W34" s="23">
        <f t="shared" ref="W34:W38" si="30">+$U$2</f>
        <v>3.6805555555555557E-2</v>
      </c>
      <c r="X34" s="23">
        <f t="shared" si="26"/>
        <v>0.44236111111111109</v>
      </c>
      <c r="Y34" s="23">
        <f t="shared" si="27"/>
        <v>4.8611111111111494E-3</v>
      </c>
      <c r="Z34" s="23"/>
      <c r="AA34" s="23">
        <f t="shared" si="28"/>
        <v>0.41041666666666671</v>
      </c>
      <c r="AB34" s="30">
        <f t="shared" si="29"/>
        <v>3.6805555555555536E-2</v>
      </c>
      <c r="AC34" s="30">
        <f>SUMIF($S$4:S34,S34,$AB$4:AB34)</f>
        <v>7.3611111111111072E-2</v>
      </c>
      <c r="AD34" s="23">
        <f>_xlfn.IFNA(VLOOKUP(VeredaTr12[[#This Row],[BUS]],_xlfn._xlws.SORT(TrCeib11[[BUS]:[T2]],11,-1,FALSE),11,FALSE),0)</f>
        <v>4.2361111111111127E-2</v>
      </c>
      <c r="AE34" s="23">
        <f>+VeredaTr12[[#This Row],[∑VeredaTr]]+VeredaTr12[[#This Row],[T2]]</f>
        <v>0.1159722222222222</v>
      </c>
    </row>
    <row r="35" spans="1:31" x14ac:dyDescent="0.35">
      <c r="B35" s="28">
        <v>6</v>
      </c>
      <c r="C35" s="23">
        <v>0.40902777777777777</v>
      </c>
      <c r="D35" s="23">
        <f t="shared" si="0"/>
        <v>5.5555555555555913E-3</v>
      </c>
      <c r="E35" s="23">
        <f>VLOOKUP(TrCeib11[[#This Row],[HORA]],'OFERTA (3)'!I:M,5,TRUE)</f>
        <v>1.0416666666666666E-2</v>
      </c>
      <c r="F35" s="23">
        <f t="shared" ref="F35:F42" si="31">+$D$2</f>
        <v>4.2361111111111106E-2</v>
      </c>
      <c r="G35" s="23">
        <f t="shared" ref="G35:G42" si="32">C35+F35</f>
        <v>0.4513888888888889</v>
      </c>
      <c r="H35" s="23">
        <f t="shared" ref="H35:H42" si="33">+(C34+E35)-C35</f>
        <v>4.8611111111110938E-3</v>
      </c>
      <c r="I35" s="23"/>
      <c r="J35" s="23">
        <f t="shared" ref="J35:J42" si="34">+C35+H35</f>
        <v>0.41388888888888886</v>
      </c>
      <c r="K35" s="30">
        <f>(G35-C35)+TrCeib11[[#This Row],[Tt_tex]]</f>
        <v>4.2361111111111127E-2</v>
      </c>
      <c r="L35" s="30">
        <f>SUMIF(B$4:$B35,TrCeib11[[#This Row],[BUS]],$K$4:K35)</f>
        <v>0.1256944444444445</v>
      </c>
      <c r="M35" s="23">
        <f>_xlfn.IFNA(VLOOKUP(TrCeib11[[#This Row],[BUS]],_xlfn._xlws.SORT(VeredaTr12[[BUS]:[T2]],11,-1,FALSE),11,FALSE),0)</f>
        <v>0.14722222222222214</v>
      </c>
      <c r="N35" s="23">
        <f>+TrCeib11[[#This Row],[∑TrCeib]]+TrCeib11[[#This Row],[T2]]</f>
        <v>0.27291666666666664</v>
      </c>
      <c r="O35" s="23"/>
      <c r="P35" s="40"/>
      <c r="Q35"/>
      <c r="S35" s="28">
        <v>10</v>
      </c>
      <c r="T35" s="23">
        <v>0.41111111111111109</v>
      </c>
      <c r="U35" s="23">
        <f t="shared" si="3"/>
        <v>5.5555555555555358E-3</v>
      </c>
      <c r="V35" s="23">
        <f>VLOOKUP(VeredaTr12[[#This Row],[HORA]],'OFERTA (3)'!B:F,5,TRUE)</f>
        <v>1.0416666666666666E-2</v>
      </c>
      <c r="W35" s="47">
        <v>3.4722222222222224E-2</v>
      </c>
      <c r="X35" s="23">
        <f t="shared" si="26"/>
        <v>0.4458333333333333</v>
      </c>
      <c r="Y35" s="23">
        <f t="shared" si="27"/>
        <v>4.8611111111111494E-3</v>
      </c>
      <c r="Z35" s="23"/>
      <c r="AA35" s="23">
        <f t="shared" si="28"/>
        <v>0.41597222222222224</v>
      </c>
      <c r="AB35" s="30">
        <f t="shared" si="29"/>
        <v>3.472222222222221E-2</v>
      </c>
      <c r="AC35" s="30">
        <f>SUMIF($S$4:S35,S35,$AB$4:AB35)</f>
        <v>0.10833333333333328</v>
      </c>
      <c r="AD35" s="23">
        <f>_xlfn.IFNA(VLOOKUP(VeredaTr12[[#This Row],[BUS]],_xlfn._xlws.SORT(TrCeib11[[BUS]:[T2]],11,-1,FALSE),11,FALSE),0)</f>
        <v>0.12708333333333338</v>
      </c>
      <c r="AE35" s="23">
        <f>+VeredaTr12[[#This Row],[∑VeredaTr]]+VeredaTr12[[#This Row],[T2]]</f>
        <v>0.23541666666666666</v>
      </c>
    </row>
    <row r="36" spans="1:31" x14ac:dyDescent="0.35">
      <c r="B36" s="28">
        <v>14</v>
      </c>
      <c r="C36" s="23">
        <v>0.4145833333333333</v>
      </c>
      <c r="D36" s="23">
        <f t="shared" si="0"/>
        <v>5.5555555555555358E-3</v>
      </c>
      <c r="E36" s="23">
        <f>VLOOKUP(TrCeib11[[#This Row],[HORA]],'OFERTA (3)'!I:M,5,TRUE)</f>
        <v>1.0416666666666666E-2</v>
      </c>
      <c r="F36" s="23">
        <f t="shared" si="31"/>
        <v>4.2361111111111106E-2</v>
      </c>
      <c r="G36" s="23">
        <f t="shared" si="32"/>
        <v>0.45694444444444443</v>
      </c>
      <c r="H36" s="23">
        <f t="shared" si="33"/>
        <v>4.8611111111111494E-3</v>
      </c>
      <c r="I36" s="23"/>
      <c r="J36" s="23">
        <f t="shared" si="34"/>
        <v>0.41944444444444445</v>
      </c>
      <c r="K36" s="30">
        <f>(G36-C36)+TrCeib11[[#This Row],[Tt_tex]]</f>
        <v>4.2361111111111127E-2</v>
      </c>
      <c r="L36" s="30">
        <f>SUMIF(B$4:$B36,TrCeib11[[#This Row],[BUS]],$K$4:K36)</f>
        <v>8.4722222222222254E-2</v>
      </c>
      <c r="M36" s="23">
        <f>_xlfn.IFNA(VLOOKUP(TrCeib11[[#This Row],[BUS]],_xlfn._xlws.SORT(VeredaTr12[[BUS]:[T2]],11,-1,FALSE),11,FALSE),0)</f>
        <v>0.11041666666666661</v>
      </c>
      <c r="N36" s="23">
        <f>+TrCeib11[[#This Row],[∑TrCeib]]+TrCeib11[[#This Row],[T2]]</f>
        <v>0.19513888888888886</v>
      </c>
      <c r="O36" s="23"/>
      <c r="P36" s="40"/>
      <c r="Q36"/>
      <c r="R36" s="22"/>
      <c r="S36" s="28">
        <v>11</v>
      </c>
      <c r="T36" s="23">
        <v>0.42430555555555555</v>
      </c>
      <c r="U36" s="23">
        <f t="shared" si="3"/>
        <v>1.3194444444444453E-2</v>
      </c>
      <c r="V36" s="23">
        <f>VLOOKUP(VeredaTr12[[#This Row],[HORA]],'OFERTA (3)'!B:F,5,TRUE)</f>
        <v>1.0416666666666666E-2</v>
      </c>
      <c r="W36" s="23">
        <f t="shared" si="30"/>
        <v>3.6805555555555557E-2</v>
      </c>
      <c r="X36" s="23">
        <f t="shared" si="26"/>
        <v>0.46111111111111108</v>
      </c>
      <c r="Y36" s="23">
        <f t="shared" si="27"/>
        <v>-2.7777777777777679E-3</v>
      </c>
      <c r="Z36" s="23"/>
      <c r="AA36" s="23">
        <f t="shared" si="28"/>
        <v>0.42152777777777778</v>
      </c>
      <c r="AB36" s="30">
        <f t="shared" si="29"/>
        <v>3.6805555555555536E-2</v>
      </c>
      <c r="AC36" s="30">
        <f>SUMIF($S$4:S36,S36,$AB$4:AB36)</f>
        <v>7.3611111111111072E-2</v>
      </c>
      <c r="AD36" s="23">
        <f>_xlfn.IFNA(VLOOKUP(VeredaTr12[[#This Row],[BUS]],_xlfn._xlws.SORT(TrCeib11[[BUS]:[T2]],11,-1,FALSE),11,FALSE),0)</f>
        <v>0.12708333333333338</v>
      </c>
      <c r="AE36" s="23">
        <f>+VeredaTr12[[#This Row],[∑VeredaTr]]+VeredaTr12[[#This Row],[T2]]</f>
        <v>0.20069444444444445</v>
      </c>
    </row>
    <row r="37" spans="1:31" x14ac:dyDescent="0.35">
      <c r="B37" s="28">
        <v>15</v>
      </c>
      <c r="C37" s="23">
        <v>0.42499999999999999</v>
      </c>
      <c r="D37" s="23">
        <f t="shared" si="0"/>
        <v>1.0416666666666685E-2</v>
      </c>
      <c r="E37" s="23">
        <f>VLOOKUP(TrCeib11[[#This Row],[HORA]],'OFERTA (3)'!I:M,5,TRUE)</f>
        <v>1.0416666666666666E-2</v>
      </c>
      <c r="F37" s="23">
        <f t="shared" si="31"/>
        <v>4.2361111111111106E-2</v>
      </c>
      <c r="G37" s="23">
        <f t="shared" si="32"/>
        <v>0.46736111111111112</v>
      </c>
      <c r="H37" s="23">
        <f t="shared" si="33"/>
        <v>0</v>
      </c>
      <c r="I37" s="23"/>
      <c r="J37" s="23">
        <f t="shared" si="34"/>
        <v>0.42499999999999999</v>
      </c>
      <c r="K37" s="30">
        <f>(G37-C37)+TrCeib11[[#This Row],[Tt_tex]]</f>
        <v>4.2361111111111127E-2</v>
      </c>
      <c r="L37" s="30">
        <f>SUMIF(B$4:$B37,TrCeib11[[#This Row],[BUS]],$K$4:K37)</f>
        <v>8.4722222222222254E-2</v>
      </c>
      <c r="M37" s="23">
        <f>_xlfn.IFNA(VLOOKUP(TrCeib11[[#This Row],[BUS]],_xlfn._xlws.SORT(VeredaTr12[[BUS]:[T2]],11,-1,FALSE),11,FALSE),0)</f>
        <v>0.10972222222222222</v>
      </c>
      <c r="N37" s="23">
        <f>+TrCeib11[[#This Row],[∑TrCeib]]+TrCeib11[[#This Row],[T2]]</f>
        <v>0.19444444444444448</v>
      </c>
      <c r="O37" s="23"/>
      <c r="P37" s="40"/>
      <c r="Q37"/>
      <c r="S37" s="28">
        <v>12</v>
      </c>
      <c r="T37" s="23">
        <v>0.43333333333333335</v>
      </c>
      <c r="U37" s="23">
        <f t="shared" si="3"/>
        <v>9.0277777777778012E-3</v>
      </c>
      <c r="V37" s="23">
        <f>VLOOKUP(VeredaTr12[[#This Row],[HORA]],'OFERTA (3)'!B:F,5,TRUE)</f>
        <v>1.0416666666666666E-2</v>
      </c>
      <c r="W37" s="23">
        <f t="shared" si="30"/>
        <v>3.6805555555555557E-2</v>
      </c>
      <c r="X37" s="23">
        <f t="shared" si="26"/>
        <v>0.47013888888888888</v>
      </c>
      <c r="Y37" s="23">
        <f t="shared" si="27"/>
        <v>1.388888888888884E-3</v>
      </c>
      <c r="Z37" s="23"/>
      <c r="AA37" s="23">
        <f t="shared" si="28"/>
        <v>0.43472222222222223</v>
      </c>
      <c r="AB37" s="30">
        <f t="shared" si="29"/>
        <v>3.6805555555555536E-2</v>
      </c>
      <c r="AC37" s="30">
        <f>SUMIF($S$4:S37,S37,$AB$4:AB37)</f>
        <v>7.3611111111111072E-2</v>
      </c>
      <c r="AD37" s="23">
        <f>_xlfn.IFNA(VLOOKUP(VeredaTr12[[#This Row],[BUS]],_xlfn._xlws.SORT(TrCeib11[[BUS]:[T2]],11,-1,FALSE),11,FALSE),0)</f>
        <v>0.12708333333333333</v>
      </c>
      <c r="AE37" s="23">
        <f>+VeredaTr12[[#This Row],[∑VeredaTr]]+VeredaTr12[[#This Row],[T2]]</f>
        <v>0.2006944444444444</v>
      </c>
    </row>
    <row r="38" spans="1:31" x14ac:dyDescent="0.35">
      <c r="B38" s="28">
        <v>9</v>
      </c>
      <c r="C38" s="23">
        <v>0.43541666666666667</v>
      </c>
      <c r="D38" s="23">
        <f t="shared" si="0"/>
        <v>1.0416666666666685E-2</v>
      </c>
      <c r="E38" s="23">
        <f>VLOOKUP(TrCeib11[[#This Row],[HORA]],'OFERTA (3)'!I:M,5,TRUE)</f>
        <v>1.0416666666666666E-2</v>
      </c>
      <c r="F38" s="23">
        <f t="shared" si="31"/>
        <v>4.2361111111111106E-2</v>
      </c>
      <c r="G38" s="23">
        <f t="shared" si="32"/>
        <v>0.4777777777777778</v>
      </c>
      <c r="H38" s="23">
        <f t="shared" si="33"/>
        <v>0</v>
      </c>
      <c r="I38" s="23"/>
      <c r="J38" s="23">
        <f t="shared" si="34"/>
        <v>0.43541666666666667</v>
      </c>
      <c r="K38" s="30">
        <f>(G38-C38)+TrCeib11[[#This Row],[Tt_tex]]</f>
        <v>4.2361111111111127E-2</v>
      </c>
      <c r="L38" s="30">
        <f>SUMIF(B$4:$B38,TrCeib11[[#This Row],[BUS]],$K$4:K38)</f>
        <v>0.12638888888888894</v>
      </c>
      <c r="M38" s="23">
        <f>_xlfn.IFNA(VLOOKUP(TrCeib11[[#This Row],[BUS]],_xlfn._xlws.SORT(VeredaTr12[[BUS]:[T2]],11,-1,FALSE),11,FALSE),0)</f>
        <v>0.14583333333333329</v>
      </c>
      <c r="N38" s="23">
        <f>+TrCeib11[[#This Row],[∑TrCeib]]+TrCeib11[[#This Row],[T2]]</f>
        <v>0.27222222222222225</v>
      </c>
      <c r="O38" s="23"/>
      <c r="P38" s="40"/>
      <c r="Q38"/>
      <c r="S38" s="28">
        <v>13</v>
      </c>
      <c r="T38" s="23">
        <v>0.44236111111111115</v>
      </c>
      <c r="U38" s="23">
        <f t="shared" si="3"/>
        <v>9.0277777777778012E-3</v>
      </c>
      <c r="V38" s="23">
        <f>VLOOKUP(VeredaTr12[[#This Row],[HORA]],'OFERTA (3)'!B:F,5,TRUE)</f>
        <v>1.0416666666666666E-2</v>
      </c>
      <c r="W38" s="23">
        <f t="shared" si="30"/>
        <v>3.6805555555555557E-2</v>
      </c>
      <c r="X38" s="23">
        <f t="shared" si="26"/>
        <v>0.47916666666666669</v>
      </c>
      <c r="Y38" s="23">
        <f t="shared" si="27"/>
        <v>1.388888888888884E-3</v>
      </c>
      <c r="Z38" s="23"/>
      <c r="AA38" s="23">
        <f t="shared" si="28"/>
        <v>0.44375000000000003</v>
      </c>
      <c r="AB38" s="30">
        <f t="shared" si="29"/>
        <v>3.6805555555555536E-2</v>
      </c>
      <c r="AC38" s="30">
        <f>SUMIF($S$4:S46,S38,$AB$4:AB46)</f>
        <v>0.11041666666666661</v>
      </c>
      <c r="AD38" s="23">
        <f>_xlfn.IFNA(VLOOKUP(VeredaTr12[[#This Row],[BUS]],_xlfn._xlws.SORT(TrCeib11[[BUS]:[T2]],11,-1,FALSE),11,FALSE),0)</f>
        <v>0.12708333333333338</v>
      </c>
      <c r="AE38" s="23">
        <f>+VeredaTr12[[#This Row],[∑VeredaTr]]+VeredaTr12[[#This Row],[T2]]</f>
        <v>0.23749999999999999</v>
      </c>
    </row>
    <row r="39" spans="1:31" x14ac:dyDescent="0.35">
      <c r="B39" s="28">
        <v>10</v>
      </c>
      <c r="C39" s="23">
        <v>0.4458333333333333</v>
      </c>
      <c r="D39" s="23">
        <f t="shared" si="0"/>
        <v>1.041666666666663E-2</v>
      </c>
      <c r="E39" s="23">
        <f>VLOOKUP(TrCeib11[[#This Row],[HORA]],'OFERTA (3)'!I:M,5,TRUE)</f>
        <v>1.0416666666666666E-2</v>
      </c>
      <c r="F39" s="23">
        <f t="shared" si="31"/>
        <v>4.2361111111111106E-2</v>
      </c>
      <c r="G39" s="23">
        <f t="shared" si="32"/>
        <v>0.48819444444444443</v>
      </c>
      <c r="H39" s="23">
        <f t="shared" si="33"/>
        <v>0</v>
      </c>
      <c r="I39" s="23"/>
      <c r="J39" s="23">
        <f t="shared" si="34"/>
        <v>0.4458333333333333</v>
      </c>
      <c r="K39" s="30">
        <f>(G39-C39)+TrCeib11[[#This Row],[Tt_tex]]</f>
        <v>4.2361111111111127E-2</v>
      </c>
      <c r="L39" s="30">
        <f>SUMIF(B$4:$B39,TrCeib11[[#This Row],[BUS]],$K$4:K39)</f>
        <v>0.12708333333333338</v>
      </c>
      <c r="M39" s="23">
        <f>_xlfn.IFNA(VLOOKUP(TrCeib11[[#This Row],[BUS]],_xlfn._xlws.SORT(VeredaTr12[[BUS]:[T2]],11,-1,FALSE),11,FALSE),0)</f>
        <v>0.14513888888888887</v>
      </c>
      <c r="N39" s="23">
        <f>+TrCeib11[[#This Row],[∑TrCeib]]+TrCeib11[[#This Row],[T2]]</f>
        <v>0.27222222222222225</v>
      </c>
      <c r="O39" s="23"/>
      <c r="P39" s="40"/>
      <c r="Q39"/>
      <c r="S39" s="28">
        <v>6</v>
      </c>
      <c r="T39" s="23">
        <v>0.4513888888888889</v>
      </c>
      <c r="U39" s="23">
        <f t="shared" si="3"/>
        <v>9.0277777777777457E-3</v>
      </c>
      <c r="V39" s="23">
        <f>VLOOKUP(VeredaTr12[[#This Row],[HORA]],'OFERTA (3)'!B:F,5,TRUE)</f>
        <v>1.0416666666666666E-2</v>
      </c>
      <c r="W39" s="23">
        <f t="shared" ref="W39:W46" si="35">+$U$2</f>
        <v>3.6805555555555557E-2</v>
      </c>
      <c r="X39" s="23">
        <f t="shared" ref="X39:X46" si="36">+T39+W39</f>
        <v>0.48819444444444443</v>
      </c>
      <c r="Y39" s="23">
        <f t="shared" si="27"/>
        <v>1.3888888888889395E-3</v>
      </c>
      <c r="Z39" s="23"/>
      <c r="AA39" s="23">
        <f t="shared" ref="AA39:AA46" si="37">+T39+Y39</f>
        <v>0.45277777777777783</v>
      </c>
      <c r="AB39" s="30">
        <f t="shared" ref="AB39:AB46" si="38">(X39-T39)</f>
        <v>3.6805555555555536E-2</v>
      </c>
      <c r="AC39" s="30">
        <f>SUMIF($S$4:S39,S39,$AB$4:AB39)</f>
        <v>0.14722222222222214</v>
      </c>
      <c r="AD39" s="23">
        <f>_xlfn.IFNA(VLOOKUP(VeredaTr12[[#This Row],[BUS]],_xlfn._xlws.SORT(TrCeib11[[BUS]:[T2]],11,-1,FALSE),11,FALSE),0)</f>
        <v>0.1256944444444445</v>
      </c>
      <c r="AE39" s="23">
        <f>+VeredaTr12[[#This Row],[∑VeredaTr]]+VeredaTr12[[#This Row],[T2]]</f>
        <v>0.27291666666666664</v>
      </c>
    </row>
    <row r="40" spans="1:31" x14ac:dyDescent="0.35">
      <c r="B40" s="28">
        <v>11</v>
      </c>
      <c r="C40" s="23">
        <v>0.46111111111111108</v>
      </c>
      <c r="D40" s="23">
        <f t="shared" si="0"/>
        <v>1.5277777777777779E-2</v>
      </c>
      <c r="E40" s="23">
        <f>VLOOKUP(TrCeib11[[#This Row],[HORA]],'OFERTA (3)'!I:M,5,TRUE)</f>
        <v>1.0416666666666666E-2</v>
      </c>
      <c r="F40" s="23">
        <f t="shared" si="31"/>
        <v>4.2361111111111106E-2</v>
      </c>
      <c r="G40" s="23">
        <f t="shared" si="32"/>
        <v>0.50347222222222221</v>
      </c>
      <c r="H40" s="23">
        <f t="shared" si="33"/>
        <v>-4.8611111111110938E-3</v>
      </c>
      <c r="I40" s="23"/>
      <c r="J40" s="23">
        <f t="shared" si="34"/>
        <v>0.45624999999999999</v>
      </c>
      <c r="K40" s="30">
        <f>(G40-C40)+TrCeib11[[#This Row],[Tt_tex]]</f>
        <v>4.2361111111111127E-2</v>
      </c>
      <c r="L40" s="30">
        <f>SUMIF(B$4:$B40,TrCeib11[[#This Row],[BUS]],$K$4:K40)</f>
        <v>0.12708333333333338</v>
      </c>
      <c r="M40" s="23">
        <f>_xlfn.IFNA(VLOOKUP(TrCeib11[[#This Row],[BUS]],_xlfn._xlws.SORT(VeredaTr12[[BUS]:[T2]],11,-1,FALSE),11,FALSE),0)</f>
        <v>0.11041666666666661</v>
      </c>
      <c r="N40" s="23">
        <f>+TrCeib11[[#This Row],[∑TrCeib]]+TrCeib11[[#This Row],[T2]]</f>
        <v>0.23749999999999999</v>
      </c>
      <c r="O40" s="23"/>
      <c r="P40" s="40"/>
      <c r="Q40"/>
      <c r="S40" s="28">
        <v>14</v>
      </c>
      <c r="T40" s="23">
        <v>0.4604166666666667</v>
      </c>
      <c r="U40" s="23">
        <f t="shared" si="3"/>
        <v>9.0277777777778012E-3</v>
      </c>
      <c r="V40" s="23">
        <f>VLOOKUP(VeredaTr12[[#This Row],[HORA]],'OFERTA (3)'!B:F,5,TRUE)</f>
        <v>1.0416666666666666E-2</v>
      </c>
      <c r="W40" s="23">
        <f t="shared" si="35"/>
        <v>3.6805555555555557E-2</v>
      </c>
      <c r="X40" s="23">
        <f t="shared" si="36"/>
        <v>0.49722222222222223</v>
      </c>
      <c r="Y40" s="23">
        <f t="shared" si="27"/>
        <v>1.388888888888884E-3</v>
      </c>
      <c r="Z40" s="23">
        <v>3.4722222222222654E-3</v>
      </c>
      <c r="AA40" s="23">
        <f t="shared" si="37"/>
        <v>0.46180555555555558</v>
      </c>
      <c r="AB40" s="30">
        <f t="shared" si="38"/>
        <v>3.6805555555555536E-2</v>
      </c>
      <c r="AC40" s="30">
        <f>SUMIF($S$4:S40,S40,$AB$4:AB40)</f>
        <v>0.11041666666666661</v>
      </c>
      <c r="AD40" s="23">
        <f>_xlfn.IFNA(VLOOKUP(VeredaTr12[[#This Row],[BUS]],_xlfn._xlws.SORT(TrCeib11[[BUS]:[T2]],11,-1,FALSE),11,FALSE),0)</f>
        <v>8.4722222222222254E-2</v>
      </c>
      <c r="AE40" s="23">
        <f>+VeredaTr12[[#This Row],[∑VeredaTr]]+VeredaTr12[[#This Row],[T2]]</f>
        <v>0.19513888888888886</v>
      </c>
    </row>
    <row r="41" spans="1:31" x14ac:dyDescent="0.35">
      <c r="B41" s="28">
        <v>12</v>
      </c>
      <c r="C41" s="23">
        <v>0.47013888888888888</v>
      </c>
      <c r="D41" s="23">
        <f t="shared" si="0"/>
        <v>9.0277777777778012E-3</v>
      </c>
      <c r="E41" s="23">
        <f>VLOOKUP(TrCeib11[[#This Row],[HORA]],'OFERTA (3)'!I:M,5,TRUE)</f>
        <v>1.0416666666666666E-2</v>
      </c>
      <c r="F41" s="23">
        <f t="shared" si="31"/>
        <v>4.2361111111111106E-2</v>
      </c>
      <c r="G41" s="23">
        <f t="shared" si="32"/>
        <v>0.51249999999999996</v>
      </c>
      <c r="H41" s="23">
        <f t="shared" si="33"/>
        <v>1.388888888888884E-3</v>
      </c>
      <c r="I41" s="23"/>
      <c r="J41" s="23">
        <f t="shared" si="34"/>
        <v>0.47152777777777777</v>
      </c>
      <c r="K41" s="30">
        <f>(G41-C41)+TrCeib11[[#This Row],[Tt_tex]]</f>
        <v>4.2361111111111072E-2</v>
      </c>
      <c r="L41" s="30">
        <f>SUMIF(B$4:$B41,TrCeib11[[#This Row],[BUS]],$K$4:K41)</f>
        <v>0.12708333333333333</v>
      </c>
      <c r="M41" s="23">
        <f>_xlfn.IFNA(VLOOKUP(TrCeib11[[#This Row],[BUS]],_xlfn._xlws.SORT(VeredaTr12[[BUS]:[T2]],11,-1,FALSE),11,FALSE),0)</f>
        <v>0.11041666666666661</v>
      </c>
      <c r="N41" s="23">
        <f>+TrCeib11[[#This Row],[∑TrCeib]]+TrCeib11[[#This Row],[T2]]</f>
        <v>0.23749999999999993</v>
      </c>
      <c r="O41" s="23"/>
      <c r="P41" s="40"/>
      <c r="Q41"/>
      <c r="S41" s="28">
        <v>15</v>
      </c>
      <c r="T41" s="23">
        <v>0.4694444444444445</v>
      </c>
      <c r="U41" s="23">
        <f t="shared" si="3"/>
        <v>9.0277777777778012E-3</v>
      </c>
      <c r="V41" s="23">
        <f>VLOOKUP(VeredaTr12[[#This Row],[HORA]],'OFERTA (3)'!B:F,5,TRUE)</f>
        <v>1.0416666666666666E-2</v>
      </c>
      <c r="W41" s="23">
        <f t="shared" si="35"/>
        <v>3.6805555555555557E-2</v>
      </c>
      <c r="X41" s="23">
        <f t="shared" si="36"/>
        <v>0.50625000000000009</v>
      </c>
      <c r="Y41" s="23">
        <f t="shared" si="27"/>
        <v>1.388888888888884E-3</v>
      </c>
      <c r="Z41" s="23">
        <v>2.0833333333333814E-3</v>
      </c>
      <c r="AA41" s="23">
        <f t="shared" si="37"/>
        <v>0.47083333333333338</v>
      </c>
      <c r="AB41" s="30">
        <f t="shared" si="38"/>
        <v>3.6805555555555591E-2</v>
      </c>
      <c r="AC41" s="30">
        <f>SUMIF($S$4:S41,S41,$AB$4:AB41)</f>
        <v>0.10972222222222222</v>
      </c>
      <c r="AD41" s="23">
        <f>_xlfn.IFNA(VLOOKUP(VeredaTr12[[#This Row],[BUS]],_xlfn._xlws.SORT(TrCeib11[[BUS]:[T2]],11,-1,FALSE),11,FALSE),0)</f>
        <v>8.4722222222222254E-2</v>
      </c>
      <c r="AE41" s="23">
        <f>+VeredaTr12[[#This Row],[∑VeredaTr]]+VeredaTr12[[#This Row],[T2]]</f>
        <v>0.19444444444444448</v>
      </c>
    </row>
    <row r="42" spans="1:31" x14ac:dyDescent="0.35">
      <c r="B42" s="28">
        <v>13</v>
      </c>
      <c r="C42" s="23">
        <v>0.47916666666666669</v>
      </c>
      <c r="D42" s="23">
        <f t="shared" si="0"/>
        <v>9.0277777777778012E-3</v>
      </c>
      <c r="E42" s="23">
        <f>VLOOKUP(TrCeib11[[#This Row],[HORA]],'OFERTA (3)'!I:M,5,TRUE)</f>
        <v>6.9444444444444441E-3</v>
      </c>
      <c r="F42" s="23">
        <f t="shared" si="31"/>
        <v>4.2361111111111106E-2</v>
      </c>
      <c r="G42" s="23">
        <f t="shared" si="32"/>
        <v>0.52152777777777781</v>
      </c>
      <c r="H42" s="23">
        <f t="shared" si="33"/>
        <v>-2.0833333333333814E-3</v>
      </c>
      <c r="I42" s="23"/>
      <c r="J42" s="23">
        <f t="shared" si="34"/>
        <v>0.4770833333333333</v>
      </c>
      <c r="K42" s="30">
        <f>(G42-C42)+TrCeib11[[#This Row],[Tt_tex]]</f>
        <v>4.2361111111111127E-2</v>
      </c>
      <c r="L42" s="30">
        <f>SUMIF(B$4:$B42,TrCeib11[[#This Row],[BUS]],$K$4:K42)</f>
        <v>0.12708333333333338</v>
      </c>
      <c r="M42" s="23">
        <f>_xlfn.IFNA(VLOOKUP(TrCeib11[[#This Row],[BUS]],_xlfn._xlws.SORT(VeredaTr12[[BUS]:[T2]],11,-1,FALSE),11,FALSE),0)</f>
        <v>0.11041666666666661</v>
      </c>
      <c r="N42" s="23">
        <f>+TrCeib11[[#This Row],[∑TrCeib]]+TrCeib11[[#This Row],[T2]]</f>
        <v>0.23749999999999999</v>
      </c>
      <c r="O42" s="23"/>
      <c r="P42" s="40"/>
      <c r="Q42"/>
      <c r="S42" s="28">
        <v>9</v>
      </c>
      <c r="T42" s="23">
        <v>0.4784722222222223</v>
      </c>
      <c r="U42" s="23">
        <f t="shared" si="3"/>
        <v>9.0277777777778012E-3</v>
      </c>
      <c r="V42" s="23">
        <f>VLOOKUP(VeredaTr12[[#This Row],[HORA]],'OFERTA (3)'!B:F,5,TRUE)</f>
        <v>1.0416666666666666E-2</v>
      </c>
      <c r="W42" s="23">
        <f t="shared" si="35"/>
        <v>3.6805555555555557E-2</v>
      </c>
      <c r="X42" s="23">
        <f t="shared" si="36"/>
        <v>0.51527777777777783</v>
      </c>
      <c r="Y42" s="23">
        <f t="shared" si="27"/>
        <v>1.388888888888884E-3</v>
      </c>
      <c r="Z42" s="23">
        <v>6.9444444444449749E-4</v>
      </c>
      <c r="AA42" s="23">
        <f t="shared" si="37"/>
        <v>0.47986111111111118</v>
      </c>
      <c r="AB42" s="30">
        <f t="shared" si="38"/>
        <v>3.6805555555555536E-2</v>
      </c>
      <c r="AC42" s="30">
        <f>SUMIF($S$4:S42,S42,$AB$4:AB42)</f>
        <v>0.14583333333333329</v>
      </c>
      <c r="AD42" s="23">
        <f>_xlfn.IFNA(VLOOKUP(VeredaTr12[[#This Row],[BUS]],_xlfn._xlws.SORT(TrCeib11[[BUS]:[T2]],11,-1,FALSE),11,FALSE),0)</f>
        <v>0.12638888888888894</v>
      </c>
      <c r="AE42" s="23">
        <f>+VeredaTr12[[#This Row],[∑VeredaTr]]+VeredaTr12[[#This Row],[T2]]</f>
        <v>0.27222222222222225</v>
      </c>
    </row>
    <row r="43" spans="1:31" x14ac:dyDescent="0.35">
      <c r="C43" s="23"/>
      <c r="D43" s="23"/>
      <c r="E43" s="23"/>
      <c r="F43" s="23"/>
      <c r="G43" s="23"/>
      <c r="I43" s="23"/>
      <c r="J43" s="23"/>
      <c r="K43" s="30"/>
      <c r="L43" s="30"/>
      <c r="M43" s="23"/>
      <c r="N43" s="23"/>
      <c r="O43" s="23"/>
      <c r="P43" s="40"/>
      <c r="Q43"/>
      <c r="S43" s="28">
        <v>10</v>
      </c>
      <c r="T43" s="23">
        <v>0.48819444444444443</v>
      </c>
      <c r="U43" s="23">
        <f t="shared" si="3"/>
        <v>9.7222222222221322E-3</v>
      </c>
      <c r="V43" s="23">
        <f>VLOOKUP(VeredaTr12[[#This Row],[HORA]],'OFERTA (3)'!B:F,5,TRUE)</f>
        <v>6.9444444444444441E-3</v>
      </c>
      <c r="W43" s="23">
        <f t="shared" si="35"/>
        <v>3.6805555555555557E-2</v>
      </c>
      <c r="X43" s="23">
        <f t="shared" si="36"/>
        <v>0.52500000000000002</v>
      </c>
      <c r="Y43" s="23">
        <f t="shared" si="27"/>
        <v>-2.7777777777777124E-3</v>
      </c>
      <c r="Z43" s="23"/>
      <c r="AA43" s="23">
        <f t="shared" si="37"/>
        <v>0.48541666666666672</v>
      </c>
      <c r="AB43" s="30">
        <f t="shared" si="38"/>
        <v>3.6805555555555591E-2</v>
      </c>
      <c r="AC43" s="30">
        <f>SUMIF($S$4:S43,S43,$AB$4:AB43)</f>
        <v>0.14513888888888887</v>
      </c>
      <c r="AD43" s="23">
        <f>_xlfn.IFNA(VLOOKUP(VeredaTr12[[#This Row],[BUS]],_xlfn._xlws.SORT(TrCeib11[[BUS]:[T2]],11,-1,FALSE),11,FALSE),0)</f>
        <v>0.12708333333333338</v>
      </c>
      <c r="AE43" s="23">
        <f>+VeredaTr12[[#This Row],[∑VeredaTr]]+VeredaTr12[[#This Row],[T2]]</f>
        <v>0.27222222222222225</v>
      </c>
    </row>
    <row r="44" spans="1:31" x14ac:dyDescent="0.35">
      <c r="C44" s="23"/>
      <c r="D44" s="23"/>
      <c r="E44" s="23"/>
      <c r="F44" s="23"/>
      <c r="G44" s="23"/>
      <c r="I44" s="23"/>
      <c r="J44" s="23"/>
      <c r="K44" s="30"/>
      <c r="L44" s="30"/>
      <c r="M44" s="23"/>
      <c r="N44" s="23"/>
      <c r="O44" s="23"/>
      <c r="P44"/>
      <c r="Q44"/>
      <c r="S44" s="28">
        <v>11</v>
      </c>
      <c r="T44" s="23">
        <v>0.50347222222222221</v>
      </c>
      <c r="U44" s="23">
        <f t="shared" si="3"/>
        <v>1.5277777777777779E-2</v>
      </c>
      <c r="V44" s="23">
        <f>VLOOKUP(VeredaTr12[[#This Row],[HORA]],'OFERTA (3)'!B:F,5,TRUE)</f>
        <v>6.9444444444444441E-3</v>
      </c>
      <c r="W44" s="23">
        <f t="shared" si="35"/>
        <v>3.6805555555555557E-2</v>
      </c>
      <c r="X44" s="23">
        <f t="shared" si="36"/>
        <v>0.54027777777777775</v>
      </c>
      <c r="Y44" s="23">
        <f t="shared" si="27"/>
        <v>-8.3333333333333592E-3</v>
      </c>
      <c r="Z44" s="23"/>
      <c r="AA44" s="23">
        <f t="shared" si="37"/>
        <v>0.49513888888888885</v>
      </c>
      <c r="AB44" s="30">
        <f t="shared" si="38"/>
        <v>3.6805555555555536E-2</v>
      </c>
      <c r="AC44" s="30">
        <f>SUMIF($S$4:S44,S44,$AB$4:AB44)</f>
        <v>0.11041666666666661</v>
      </c>
      <c r="AD44" s="23">
        <f>_xlfn.IFNA(VLOOKUP(VeredaTr12[[#This Row],[BUS]],_xlfn._xlws.SORT(TrCeib11[[BUS]:[T2]],11,-1,FALSE),11,FALSE),0)</f>
        <v>0.12708333333333338</v>
      </c>
      <c r="AE44" s="23">
        <f>+VeredaTr12[[#This Row],[∑VeredaTr]]+VeredaTr12[[#This Row],[T2]]</f>
        <v>0.23749999999999999</v>
      </c>
    </row>
    <row r="45" spans="1:31" x14ac:dyDescent="0.35">
      <c r="C45" s="23"/>
      <c r="D45" s="23"/>
      <c r="E45" s="23"/>
      <c r="F45" s="23"/>
      <c r="G45" s="23"/>
      <c r="I45" s="23"/>
      <c r="J45" s="23"/>
      <c r="K45" s="30"/>
      <c r="L45" s="30"/>
      <c r="M45" s="23"/>
      <c r="N45" s="23"/>
      <c r="O45" s="23"/>
      <c r="P45"/>
      <c r="Q45"/>
      <c r="S45" s="28">
        <v>12</v>
      </c>
      <c r="T45" s="23">
        <v>0.51249999999999996</v>
      </c>
      <c r="U45" s="23">
        <f t="shared" si="3"/>
        <v>9.0277777777777457E-3</v>
      </c>
      <c r="V45" s="23">
        <f>VLOOKUP(VeredaTr12[[#This Row],[HORA]],'OFERTA (3)'!B:F,5,TRUE)</f>
        <v>6.9444444444444441E-3</v>
      </c>
      <c r="W45" s="23">
        <f t="shared" si="35"/>
        <v>3.6805555555555557E-2</v>
      </c>
      <c r="X45" s="23">
        <f t="shared" si="36"/>
        <v>0.54930555555555549</v>
      </c>
      <c r="Y45" s="23">
        <f t="shared" si="27"/>
        <v>-2.0833333333333259E-3</v>
      </c>
      <c r="Z45" s="23"/>
      <c r="AA45" s="23">
        <f t="shared" si="37"/>
        <v>0.51041666666666663</v>
      </c>
      <c r="AB45" s="30">
        <f t="shared" si="38"/>
        <v>3.6805555555555536E-2</v>
      </c>
      <c r="AC45" s="30">
        <f>SUMIF($S$4:S45,S45,$AB$4:AB45)</f>
        <v>0.11041666666666661</v>
      </c>
      <c r="AD45" s="23">
        <f>_xlfn.IFNA(VLOOKUP(VeredaTr12[[#This Row],[BUS]],_xlfn._xlws.SORT(TrCeib11[[BUS]:[T2]],11,-1,FALSE),11,FALSE),0)</f>
        <v>0.12708333333333333</v>
      </c>
      <c r="AE45" s="23">
        <f>+VeredaTr12[[#This Row],[∑VeredaTr]]+VeredaTr12[[#This Row],[T2]]</f>
        <v>0.23749999999999993</v>
      </c>
    </row>
    <row r="46" spans="1:31" x14ac:dyDescent="0.35">
      <c r="C46" s="23"/>
      <c r="D46" s="23"/>
      <c r="E46" s="23"/>
      <c r="F46" s="23"/>
      <c r="G46" s="23"/>
      <c r="I46" s="23"/>
      <c r="J46" s="23"/>
      <c r="K46" s="30"/>
      <c r="L46" s="30"/>
      <c r="M46" s="23"/>
      <c r="N46" s="23"/>
      <c r="O46" s="23"/>
      <c r="P46"/>
      <c r="Q46"/>
      <c r="S46" s="28">
        <v>13</v>
      </c>
      <c r="T46" s="23">
        <v>0.52152777777777781</v>
      </c>
      <c r="U46" s="23">
        <f t="shared" si="3"/>
        <v>9.0277777777778567E-3</v>
      </c>
      <c r="V46" s="23">
        <f>VLOOKUP(VeredaTr12[[#This Row],[HORA]],'OFERTA (3)'!B:F,5,TRUE)</f>
        <v>6.9444444444444441E-3</v>
      </c>
      <c r="W46" s="23">
        <f t="shared" si="35"/>
        <v>3.6805555555555557E-2</v>
      </c>
      <c r="X46" s="23">
        <f t="shared" si="36"/>
        <v>0.55833333333333335</v>
      </c>
      <c r="Y46" s="23">
        <f t="shared" si="27"/>
        <v>-2.083333333333437E-3</v>
      </c>
      <c r="Z46" s="23"/>
      <c r="AA46" s="23">
        <f t="shared" si="37"/>
        <v>0.51944444444444438</v>
      </c>
      <c r="AB46" s="30">
        <f t="shared" si="38"/>
        <v>3.6805555555555536E-2</v>
      </c>
      <c r="AC46" s="30">
        <f>SUMIF($S$4:S46,S46,$AB$4:AB46)</f>
        <v>0.11041666666666661</v>
      </c>
      <c r="AD46" s="23">
        <f>_xlfn.IFNA(VLOOKUP(VeredaTr12[[#This Row],[BUS]],_xlfn._xlws.SORT(TrCeib11[[BUS]:[T2]],11,-1,FALSE),11,FALSE),0)</f>
        <v>0.12708333333333338</v>
      </c>
      <c r="AE46" s="23">
        <f>+VeredaTr12[[#This Row],[∑VeredaTr]]+VeredaTr12[[#This Row],[T2]]</f>
        <v>0.23749999999999999</v>
      </c>
    </row>
    <row r="47" spans="1:31" x14ac:dyDescent="0.35">
      <c r="C47" s="23"/>
      <c r="D47" s="23"/>
      <c r="E47" s="23"/>
      <c r="F47" s="23"/>
      <c r="G47" s="23"/>
      <c r="I47" s="23"/>
      <c r="J47" s="23"/>
      <c r="K47" s="30"/>
      <c r="L47" s="30"/>
      <c r="M47" s="23"/>
      <c r="N47" s="23"/>
      <c r="O47" s="23"/>
      <c r="P47"/>
      <c r="Q47"/>
      <c r="T47" s="23"/>
      <c r="U47" s="23"/>
      <c r="V47" s="23"/>
      <c r="W47" s="23"/>
      <c r="X47" s="23"/>
      <c r="Y47" s="23"/>
      <c r="Z47" s="23"/>
      <c r="AA47" s="23"/>
      <c r="AB47" s="30"/>
      <c r="AC47" s="30"/>
      <c r="AD47" s="23"/>
      <c r="AE47" s="23"/>
    </row>
    <row r="48" spans="1:31" x14ac:dyDescent="0.35">
      <c r="C48" s="23"/>
      <c r="D48" s="23"/>
      <c r="E48" s="23"/>
      <c r="F48" s="23"/>
      <c r="G48" s="23"/>
      <c r="I48" s="23"/>
      <c r="J48" s="23"/>
      <c r="K48" s="30"/>
      <c r="L48" s="30"/>
      <c r="M48" s="23"/>
      <c r="N48" s="23"/>
      <c r="O48" s="23"/>
      <c r="P48"/>
      <c r="Q48"/>
      <c r="T48" s="23"/>
      <c r="U48" s="23"/>
      <c r="V48" s="23"/>
      <c r="W48" s="23"/>
      <c r="X48" s="23"/>
      <c r="Y48" s="23"/>
      <c r="Z48" s="23"/>
      <c r="AA48" s="23"/>
      <c r="AB48" s="30"/>
      <c r="AC48" s="30"/>
      <c r="AD48" s="23"/>
      <c r="AE48" s="23"/>
    </row>
    <row r="49" spans="3:31" x14ac:dyDescent="0.35">
      <c r="C49" s="23"/>
      <c r="D49" s="23"/>
      <c r="E49" s="23"/>
      <c r="F49" s="23"/>
      <c r="G49" s="23"/>
      <c r="I49" s="23"/>
      <c r="J49" s="23"/>
      <c r="K49" s="30"/>
      <c r="L49" s="30"/>
      <c r="M49" s="23"/>
      <c r="N49" s="23"/>
      <c r="O49" s="23"/>
      <c r="P49"/>
      <c r="Q49"/>
      <c r="T49" s="23"/>
      <c r="U49" s="23"/>
      <c r="V49" s="23"/>
      <c r="W49" s="23"/>
      <c r="X49" s="23"/>
      <c r="Y49" s="23"/>
      <c r="Z49" s="23"/>
      <c r="AA49" s="23"/>
      <c r="AB49" s="30"/>
      <c r="AC49" s="30"/>
      <c r="AD49" s="23"/>
      <c r="AE49" s="23"/>
    </row>
    <row r="50" spans="3:31" x14ac:dyDescent="0.35">
      <c r="C50" s="23"/>
      <c r="D50" s="23"/>
      <c r="E50" s="23"/>
      <c r="F50" s="23"/>
      <c r="G50" s="23"/>
      <c r="I50" s="23"/>
      <c r="J50" s="23"/>
      <c r="K50" s="30"/>
      <c r="L50" s="30"/>
      <c r="M50" s="23"/>
      <c r="N50" s="23"/>
      <c r="O50" s="23"/>
      <c r="P50"/>
      <c r="Q50"/>
      <c r="T50" s="23"/>
      <c r="U50" s="23"/>
      <c r="V50" s="23"/>
      <c r="W50" s="23"/>
      <c r="X50" s="23"/>
      <c r="Y50" s="23"/>
      <c r="Z50" s="23"/>
      <c r="AA50" s="23"/>
      <c r="AB50" s="30"/>
      <c r="AC50" s="30"/>
      <c r="AD50" s="23"/>
      <c r="AE50" s="23"/>
    </row>
    <row r="51" spans="3:31" x14ac:dyDescent="0.35">
      <c r="C51" s="23"/>
      <c r="D51" s="23"/>
      <c r="E51" s="23"/>
      <c r="F51" s="23"/>
      <c r="G51" s="23"/>
      <c r="I51" s="23"/>
      <c r="J51" s="23"/>
      <c r="K51" s="30"/>
      <c r="L51" s="30"/>
      <c r="M51" s="23"/>
      <c r="N51" s="23"/>
      <c r="O51" s="23"/>
      <c r="P51" s="40"/>
      <c r="Q51"/>
      <c r="T51" s="23"/>
      <c r="U51" s="23"/>
      <c r="V51" s="23"/>
      <c r="W51" s="23"/>
      <c r="X51" s="23"/>
      <c r="Y51" s="23"/>
      <c r="Z51" s="23"/>
      <c r="AA51" s="23"/>
      <c r="AB51" s="30"/>
      <c r="AC51" s="30"/>
      <c r="AD51" s="23"/>
      <c r="AE51" s="23"/>
    </row>
    <row r="52" spans="3:31" x14ac:dyDescent="0.35">
      <c r="C52" s="23"/>
      <c r="D52" s="23"/>
      <c r="E52" s="23"/>
      <c r="F52" s="23"/>
      <c r="G52" s="23"/>
      <c r="I52" s="23"/>
      <c r="J52" s="23"/>
      <c r="K52" s="30"/>
      <c r="L52" s="30"/>
      <c r="M52" s="23"/>
      <c r="N52" s="23"/>
      <c r="O52" s="23"/>
      <c r="P52"/>
      <c r="Q52"/>
      <c r="T52" s="23"/>
      <c r="U52" s="23"/>
      <c r="V52" s="23"/>
      <c r="W52" s="23"/>
      <c r="X52" s="23"/>
      <c r="Y52" s="23"/>
      <c r="Z52" s="23"/>
      <c r="AA52" s="23"/>
      <c r="AB52" s="30"/>
      <c r="AC52" s="30"/>
      <c r="AD52" s="23"/>
      <c r="AE52" s="23"/>
    </row>
    <row r="53" spans="3:31" x14ac:dyDescent="0.35">
      <c r="C53" s="23"/>
      <c r="D53" s="23"/>
      <c r="E53" s="23"/>
      <c r="F53" s="23"/>
      <c r="G53" s="23"/>
      <c r="I53" s="23"/>
      <c r="J53" s="23"/>
      <c r="K53" s="30"/>
      <c r="L53" s="30"/>
      <c r="M53" s="23"/>
      <c r="N53" s="23"/>
      <c r="O53" s="23"/>
      <c r="P53"/>
      <c r="Q53"/>
      <c r="T53" s="23"/>
      <c r="U53" s="23"/>
      <c r="V53" s="23"/>
      <c r="W53" s="23"/>
      <c r="X53" s="23"/>
      <c r="Y53" s="23"/>
      <c r="Z53" s="23"/>
      <c r="AA53" s="23"/>
      <c r="AB53" s="30"/>
      <c r="AC53" s="30"/>
      <c r="AD53" s="23"/>
      <c r="AE53" s="23"/>
    </row>
    <row r="54" spans="3:31" x14ac:dyDescent="0.35">
      <c r="C54" s="23"/>
      <c r="D54" s="23"/>
      <c r="E54" s="23"/>
      <c r="F54" s="23"/>
      <c r="G54" s="23"/>
      <c r="I54" s="23"/>
      <c r="J54" s="23"/>
      <c r="K54" s="30"/>
      <c r="L54" s="30"/>
      <c r="M54" s="23"/>
      <c r="N54" s="23"/>
      <c r="O54" s="23"/>
      <c r="P54"/>
      <c r="Q54"/>
      <c r="T54" s="23"/>
      <c r="U54" s="23"/>
      <c r="V54" s="23"/>
      <c r="W54" s="23"/>
      <c r="X54" s="23"/>
      <c r="Y54" s="23"/>
      <c r="Z54" s="23"/>
      <c r="AA54" s="23"/>
      <c r="AB54" s="30"/>
      <c r="AC54" s="30"/>
      <c r="AD54" s="23"/>
      <c r="AE54" s="23"/>
    </row>
    <row r="55" spans="3:31" x14ac:dyDescent="0.35">
      <c r="C55" s="23"/>
      <c r="D55" s="23"/>
      <c r="E55" s="23"/>
      <c r="F55" s="23"/>
      <c r="G55" s="23"/>
      <c r="I55" s="23"/>
      <c r="J55" s="23"/>
      <c r="K55" s="30"/>
      <c r="L55" s="30"/>
      <c r="M55" s="23"/>
      <c r="N55" s="23"/>
      <c r="O55" s="23"/>
      <c r="P55"/>
      <c r="Q55"/>
      <c r="T55" s="23"/>
      <c r="U55" s="23"/>
      <c r="V55" s="23"/>
      <c r="W55" s="23"/>
      <c r="X55" s="23"/>
      <c r="Y55" s="23"/>
      <c r="Z55" s="23"/>
      <c r="AA55" s="23"/>
      <c r="AB55" s="30"/>
      <c r="AC55" s="30"/>
      <c r="AD55" s="23"/>
      <c r="AE55" s="23"/>
    </row>
    <row r="56" spans="3:31" x14ac:dyDescent="0.35">
      <c r="C56" s="23"/>
      <c r="D56" s="23"/>
      <c r="E56" s="23"/>
      <c r="F56" s="23"/>
      <c r="G56" s="23"/>
      <c r="I56" s="23"/>
      <c r="J56" s="23"/>
      <c r="K56" s="30"/>
      <c r="L56" s="30"/>
      <c r="M56" s="23"/>
      <c r="N56" s="23"/>
      <c r="O56" s="23"/>
      <c r="P56"/>
      <c r="Q56"/>
      <c r="T56" s="23"/>
      <c r="U56" s="23"/>
      <c r="V56" s="23"/>
      <c r="W56" s="23"/>
      <c r="X56" s="23"/>
      <c r="Y56" s="23"/>
      <c r="Z56" s="23"/>
      <c r="AA56" s="23"/>
      <c r="AB56" s="30"/>
      <c r="AC56" s="30"/>
      <c r="AD56" s="23"/>
      <c r="AE56" s="23"/>
    </row>
    <row r="57" spans="3:31" x14ac:dyDescent="0.35">
      <c r="C57" s="23"/>
      <c r="D57" s="23"/>
      <c r="E57" s="23"/>
      <c r="F57" s="23"/>
      <c r="G57" s="23"/>
      <c r="I57" s="23"/>
      <c r="J57" s="23"/>
      <c r="K57" s="30"/>
      <c r="L57" s="30"/>
      <c r="M57" s="23"/>
      <c r="N57" s="23"/>
      <c r="O57" s="23"/>
      <c r="P57"/>
      <c r="Q57"/>
      <c r="T57" s="23"/>
      <c r="U57" s="23"/>
      <c r="V57" s="23"/>
      <c r="W57" s="23"/>
      <c r="X57" s="23"/>
      <c r="Y57" s="23"/>
      <c r="Z57" s="23"/>
      <c r="AA57" s="23"/>
      <c r="AB57" s="30"/>
      <c r="AC57" s="30"/>
      <c r="AD57" s="23"/>
      <c r="AE57" s="23"/>
    </row>
    <row r="58" spans="3:31" x14ac:dyDescent="0.35">
      <c r="C58" s="23"/>
      <c r="D58" s="23"/>
      <c r="E58" s="23"/>
      <c r="F58" s="23"/>
      <c r="G58" s="23"/>
      <c r="I58" s="23"/>
      <c r="J58" s="23"/>
      <c r="K58" s="30"/>
      <c r="L58" s="30"/>
      <c r="M58" s="23"/>
      <c r="N58" s="23"/>
      <c r="O58" s="23"/>
      <c r="P58"/>
      <c r="Q58"/>
      <c r="T58" s="23"/>
      <c r="U58" s="23"/>
      <c r="V58" s="23"/>
      <c r="W58" s="23"/>
      <c r="X58" s="23"/>
      <c r="Y58" s="23"/>
      <c r="Z58" s="23"/>
      <c r="AA58" s="23"/>
      <c r="AB58" s="30"/>
      <c r="AC58" s="30"/>
      <c r="AD58" s="23"/>
      <c r="AE58" s="23"/>
    </row>
    <row r="59" spans="3:31" x14ac:dyDescent="0.35">
      <c r="C59" s="23"/>
      <c r="D59" s="23"/>
      <c r="E59" s="23"/>
      <c r="F59" s="23"/>
      <c r="G59" s="23"/>
      <c r="I59" s="23"/>
      <c r="J59" s="23"/>
      <c r="K59" s="30"/>
      <c r="L59" s="30"/>
      <c r="M59" s="23"/>
      <c r="N59" s="23"/>
      <c r="O59" s="23"/>
      <c r="P59"/>
      <c r="Q59"/>
      <c r="T59" s="23"/>
      <c r="U59" s="23"/>
      <c r="V59" s="23"/>
      <c r="W59" s="23"/>
      <c r="X59" s="23"/>
      <c r="Y59" s="23"/>
      <c r="Z59" s="23"/>
      <c r="AA59" s="23"/>
      <c r="AB59" s="30"/>
      <c r="AC59" s="30"/>
      <c r="AD59" s="23"/>
      <c r="AE59" s="23"/>
    </row>
    <row r="60" spans="3:31" x14ac:dyDescent="0.35">
      <c r="C60" s="23"/>
      <c r="D60" s="23"/>
      <c r="E60" s="23"/>
      <c r="F60" s="23"/>
      <c r="G60" s="23"/>
      <c r="I60" s="23"/>
      <c r="J60" s="23"/>
      <c r="K60" s="30"/>
      <c r="L60" s="30"/>
      <c r="M60" s="23"/>
      <c r="N60" s="23"/>
      <c r="O60" s="23"/>
      <c r="P60"/>
      <c r="Q60"/>
      <c r="T60" s="23"/>
      <c r="U60" s="23"/>
      <c r="V60" s="23"/>
      <c r="W60" s="23"/>
      <c r="X60" s="23"/>
      <c r="Y60" s="23"/>
      <c r="Z60" s="23"/>
      <c r="AA60" s="23"/>
      <c r="AB60" s="30"/>
      <c r="AC60" s="30"/>
      <c r="AD60" s="23"/>
      <c r="AE60" s="23"/>
    </row>
    <row r="61" spans="3:31" x14ac:dyDescent="0.35">
      <c r="C61" s="23"/>
      <c r="D61" s="23"/>
      <c r="E61" s="23"/>
      <c r="F61" s="23"/>
      <c r="G61" s="23"/>
      <c r="I61" s="23"/>
      <c r="J61" s="23"/>
      <c r="K61" s="30"/>
      <c r="L61" s="30"/>
      <c r="M61" s="23"/>
      <c r="N61" s="23"/>
      <c r="O61" s="23"/>
      <c r="P61"/>
      <c r="Q61"/>
      <c r="T61" s="23"/>
      <c r="U61" s="23"/>
      <c r="V61" s="23"/>
      <c r="W61" s="23"/>
      <c r="X61" s="23"/>
      <c r="Y61" s="23"/>
      <c r="Z61" s="23"/>
      <c r="AA61" s="23"/>
      <c r="AB61" s="30"/>
      <c r="AC61" s="30"/>
      <c r="AD61" s="23"/>
      <c r="AE61" s="23"/>
    </row>
    <row r="62" spans="3:31" x14ac:dyDescent="0.35">
      <c r="C62" s="23"/>
      <c r="D62" s="23"/>
      <c r="E62" s="23"/>
      <c r="F62" s="23"/>
      <c r="G62" s="23"/>
      <c r="I62" s="23"/>
      <c r="J62" s="23"/>
      <c r="K62" s="30"/>
      <c r="L62" s="30"/>
      <c r="M62" s="23"/>
      <c r="N62" s="23"/>
      <c r="O62" s="23"/>
      <c r="P62"/>
      <c r="Q62"/>
      <c r="T62" s="23"/>
      <c r="U62" s="23"/>
      <c r="V62" s="23"/>
      <c r="W62" s="23"/>
      <c r="X62" s="23"/>
      <c r="Y62" s="23"/>
      <c r="Z62" s="23"/>
      <c r="AA62" s="23"/>
      <c r="AB62" s="30"/>
      <c r="AC62" s="30"/>
      <c r="AD62" s="23"/>
      <c r="AE62" s="23"/>
    </row>
    <row r="63" spans="3:31" x14ac:dyDescent="0.35">
      <c r="C63" s="23"/>
      <c r="D63" s="23"/>
      <c r="E63" s="23"/>
      <c r="F63" s="23"/>
      <c r="G63" s="23"/>
      <c r="I63" s="23"/>
      <c r="J63" s="23"/>
      <c r="K63" s="30"/>
      <c r="L63" s="30"/>
      <c r="M63" s="23"/>
      <c r="N63" s="23"/>
      <c r="O63" s="23"/>
      <c r="P63"/>
      <c r="Q63"/>
      <c r="T63" s="23"/>
      <c r="U63" s="23"/>
      <c r="V63" s="23"/>
      <c r="W63" s="23"/>
      <c r="X63" s="23"/>
      <c r="Y63" s="23"/>
      <c r="Z63" s="23"/>
      <c r="AA63" s="23"/>
      <c r="AB63" s="30"/>
      <c r="AC63" s="30"/>
      <c r="AD63" s="23"/>
      <c r="AE63" s="23"/>
    </row>
    <row r="64" spans="3:31" x14ac:dyDescent="0.35">
      <c r="C64" s="23"/>
      <c r="D64" s="23"/>
      <c r="E64" s="23"/>
      <c r="F64" s="23"/>
      <c r="G64" s="23"/>
      <c r="I64" s="23"/>
      <c r="J64" s="23"/>
      <c r="K64" s="30"/>
      <c r="L64" s="30"/>
      <c r="M64" s="23"/>
      <c r="N64" s="23"/>
      <c r="O64" s="23"/>
      <c r="P64"/>
      <c r="Q64"/>
      <c r="T64" s="23"/>
      <c r="U64" s="23"/>
      <c r="V64" s="23"/>
      <c r="W64" s="23"/>
      <c r="X64" s="23"/>
      <c r="Y64" s="23"/>
      <c r="Z64" s="23"/>
      <c r="AA64" s="23"/>
      <c r="AB64" s="30"/>
      <c r="AC64" s="30"/>
      <c r="AD64" s="23"/>
      <c r="AE64" s="23"/>
    </row>
    <row r="65" spans="3:31" x14ac:dyDescent="0.35">
      <c r="C65" s="23"/>
      <c r="D65" s="23"/>
      <c r="E65" s="23"/>
      <c r="F65" s="23"/>
      <c r="G65" s="23"/>
      <c r="I65" s="23"/>
      <c r="J65" s="23"/>
      <c r="K65" s="30"/>
      <c r="L65" s="30"/>
      <c r="M65" s="23"/>
      <c r="N65" s="23"/>
      <c r="O65" s="23"/>
      <c r="P65" s="40"/>
      <c r="Q65"/>
      <c r="T65" s="23"/>
      <c r="U65" s="23"/>
      <c r="V65" s="23"/>
      <c r="W65" s="23"/>
      <c r="X65" s="23"/>
      <c r="Y65" s="23"/>
      <c r="Z65" s="23"/>
      <c r="AA65" s="23"/>
      <c r="AB65" s="30"/>
      <c r="AC65" s="30"/>
      <c r="AD65" s="23"/>
      <c r="AE65" s="23"/>
    </row>
    <row r="66" spans="3:31" x14ac:dyDescent="0.35">
      <c r="C66" s="23"/>
      <c r="D66" s="23"/>
      <c r="E66" s="23"/>
      <c r="F66" s="23"/>
      <c r="G66" s="23"/>
      <c r="I66" s="23"/>
      <c r="J66" s="23"/>
      <c r="K66" s="30"/>
      <c r="L66" s="30"/>
      <c r="M66" s="23"/>
      <c r="N66" s="23"/>
      <c r="O66" s="23"/>
      <c r="P66" s="40"/>
      <c r="Q66"/>
      <c r="T66" s="23"/>
      <c r="U66" s="23"/>
      <c r="V66" s="23"/>
      <c r="W66" s="23"/>
      <c r="X66" s="23"/>
      <c r="Y66" s="23"/>
      <c r="Z66" s="23"/>
      <c r="AA66" s="23"/>
      <c r="AB66" s="30"/>
      <c r="AC66" s="30"/>
      <c r="AD66" s="23"/>
      <c r="AE66" s="23"/>
    </row>
    <row r="67" spans="3:31" x14ac:dyDescent="0.35">
      <c r="C67" s="23"/>
      <c r="D67" s="23"/>
      <c r="E67" s="23"/>
      <c r="F67" s="23"/>
      <c r="G67" s="23"/>
      <c r="I67" s="23"/>
      <c r="J67" s="23"/>
      <c r="K67" s="30"/>
      <c r="L67" s="30"/>
      <c r="M67" s="23"/>
      <c r="N67" s="23"/>
      <c r="O67" s="23"/>
      <c r="P67" s="40"/>
      <c r="Q67"/>
      <c r="T67" s="23"/>
      <c r="U67" s="23"/>
      <c r="V67" s="23"/>
      <c r="W67" s="23"/>
      <c r="X67" s="23"/>
      <c r="Y67" s="23"/>
      <c r="Z67" s="23"/>
      <c r="AA67" s="23"/>
      <c r="AB67" s="30"/>
      <c r="AC67" s="30"/>
      <c r="AD67" s="23"/>
      <c r="AE67" s="23"/>
    </row>
    <row r="68" spans="3:31" x14ac:dyDescent="0.35">
      <c r="C68" s="23"/>
      <c r="D68" s="23"/>
      <c r="E68" s="23"/>
      <c r="F68" s="23"/>
      <c r="G68" s="23"/>
      <c r="I68" s="23"/>
      <c r="J68" s="23"/>
      <c r="K68" s="30"/>
      <c r="L68" s="30"/>
      <c r="M68" s="23"/>
      <c r="N68" s="23"/>
      <c r="O68" s="23"/>
      <c r="P68" s="40"/>
      <c r="Q68"/>
      <c r="T68" s="23"/>
      <c r="U68" s="23"/>
      <c r="V68" s="23"/>
      <c r="W68" s="23"/>
      <c r="X68" s="23"/>
      <c r="Y68" s="23"/>
      <c r="Z68" s="23"/>
      <c r="AA68" s="23"/>
      <c r="AB68" s="30"/>
      <c r="AC68" s="30"/>
      <c r="AD68" s="23"/>
      <c r="AE68" s="23"/>
    </row>
    <row r="69" spans="3:31" x14ac:dyDescent="0.35">
      <c r="C69" s="23"/>
      <c r="D69" s="23"/>
      <c r="E69" s="23"/>
      <c r="F69" s="23"/>
      <c r="G69" s="23"/>
      <c r="I69" s="23"/>
      <c r="J69" s="23"/>
      <c r="K69" s="30"/>
      <c r="L69" s="30"/>
      <c r="M69" s="23"/>
      <c r="N69" s="23"/>
      <c r="O69" s="23"/>
      <c r="P69"/>
      <c r="Q69"/>
      <c r="T69" s="23"/>
      <c r="U69" s="23"/>
      <c r="V69" s="23"/>
      <c r="W69" s="23"/>
      <c r="X69" s="23"/>
      <c r="Y69" s="23"/>
      <c r="Z69" s="23"/>
      <c r="AA69" s="23"/>
      <c r="AB69" s="30"/>
      <c r="AC69" s="30"/>
      <c r="AD69" s="23"/>
      <c r="AE69" s="23"/>
    </row>
    <row r="70" spans="3:31" x14ac:dyDescent="0.35">
      <c r="C70" s="23"/>
      <c r="D70" s="23"/>
      <c r="E70" s="23"/>
      <c r="F70" s="23"/>
      <c r="G70" s="23"/>
      <c r="I70" s="23"/>
      <c r="J70" s="23"/>
      <c r="K70" s="30"/>
      <c r="L70" s="30"/>
      <c r="M70" s="23"/>
      <c r="N70" s="23"/>
      <c r="O70" s="23"/>
      <c r="P70"/>
      <c r="Q70"/>
      <c r="T70" s="23"/>
      <c r="U70" s="23"/>
      <c r="V70" s="23"/>
      <c r="W70" s="23"/>
      <c r="X70" s="23"/>
      <c r="Y70" s="23"/>
      <c r="Z70" s="23"/>
      <c r="AA70" s="23"/>
      <c r="AB70" s="30"/>
      <c r="AC70" s="30"/>
      <c r="AD70" s="23"/>
      <c r="AE70" s="23"/>
    </row>
    <row r="71" spans="3:31" x14ac:dyDescent="0.35">
      <c r="C71" s="23"/>
      <c r="D71" s="23"/>
      <c r="E71" s="23"/>
      <c r="F71" s="23"/>
      <c r="G71" s="23"/>
      <c r="I71" s="23"/>
      <c r="J71" s="23"/>
      <c r="K71" s="30"/>
      <c r="L71" s="30"/>
      <c r="M71" s="23"/>
      <c r="N71" s="23"/>
      <c r="O71" s="23"/>
      <c r="P71"/>
      <c r="Q71"/>
      <c r="T71" s="23"/>
      <c r="U71" s="23"/>
      <c r="V71" s="23"/>
      <c r="W71" s="23"/>
      <c r="X71" s="23"/>
      <c r="Y71" s="23"/>
      <c r="Z71" s="23"/>
      <c r="AA71" s="23"/>
      <c r="AB71" s="30"/>
      <c r="AC71" s="30"/>
      <c r="AD71" s="23"/>
      <c r="AE71" s="23"/>
    </row>
    <row r="72" spans="3:31" x14ac:dyDescent="0.35">
      <c r="C72" s="23"/>
      <c r="D72" s="23"/>
      <c r="E72" s="23"/>
      <c r="F72" s="23"/>
      <c r="G72" s="23"/>
      <c r="I72" s="23"/>
      <c r="J72" s="23"/>
      <c r="K72" s="30"/>
      <c r="L72" s="30"/>
      <c r="M72" s="23"/>
      <c r="N72" s="23"/>
      <c r="O72" s="23"/>
      <c r="P72"/>
      <c r="Q72"/>
      <c r="T72" s="23"/>
      <c r="U72" s="23"/>
      <c r="V72" s="23"/>
      <c r="W72" s="23"/>
      <c r="X72" s="23"/>
      <c r="Y72" s="23"/>
      <c r="Z72" s="23"/>
      <c r="AA72" s="23"/>
      <c r="AB72" s="30"/>
      <c r="AC72" s="30"/>
      <c r="AD72" s="23"/>
      <c r="AE72" s="23"/>
    </row>
    <row r="73" spans="3:31" x14ac:dyDescent="0.35">
      <c r="C73" s="23"/>
      <c r="D73" s="23"/>
      <c r="E73" s="23"/>
      <c r="F73" s="23"/>
      <c r="G73" s="23"/>
      <c r="I73" s="23"/>
      <c r="J73" s="23"/>
      <c r="K73" s="30"/>
      <c r="L73" s="30"/>
      <c r="M73" s="23"/>
      <c r="N73" s="23"/>
      <c r="O73" s="23"/>
      <c r="P73" s="40"/>
      <c r="Q73"/>
      <c r="T73" s="23"/>
      <c r="U73" s="23"/>
      <c r="V73" s="23"/>
      <c r="W73" s="23"/>
      <c r="X73" s="23"/>
      <c r="Y73" s="23"/>
      <c r="Z73" s="23"/>
      <c r="AA73" s="23"/>
      <c r="AB73" s="30"/>
      <c r="AC73" s="30"/>
      <c r="AD73" s="23"/>
      <c r="AE73" s="23"/>
    </row>
    <row r="74" spans="3:31" x14ac:dyDescent="0.35">
      <c r="C74" s="23"/>
      <c r="D74" s="23"/>
      <c r="E74" s="23"/>
      <c r="F74" s="23"/>
      <c r="G74" s="23"/>
      <c r="I74" s="23"/>
      <c r="J74" s="23"/>
      <c r="K74" s="30"/>
      <c r="L74" s="30"/>
      <c r="M74" s="23"/>
      <c r="N74" s="23"/>
      <c r="O74" s="23"/>
      <c r="P74" s="40"/>
      <c r="Q74"/>
      <c r="T74" s="23"/>
      <c r="U74" s="23"/>
      <c r="V74" s="23"/>
      <c r="W74" s="23"/>
      <c r="X74" s="23"/>
      <c r="Y74" s="23"/>
      <c r="Z74" s="23"/>
      <c r="AA74" s="23"/>
      <c r="AB74" s="30"/>
      <c r="AC74" s="30"/>
      <c r="AD74" s="23"/>
      <c r="AE74" s="23"/>
    </row>
    <row r="75" spans="3:31" x14ac:dyDescent="0.35">
      <c r="C75" s="23"/>
      <c r="D75" s="23"/>
      <c r="E75" s="23"/>
      <c r="F75" s="23"/>
      <c r="G75" s="23"/>
      <c r="I75" s="23"/>
      <c r="J75" s="23"/>
      <c r="K75" s="30"/>
      <c r="L75" s="30"/>
      <c r="M75" s="23"/>
      <c r="N75" s="23"/>
      <c r="P75" s="40"/>
      <c r="T75" s="23"/>
      <c r="U75" s="23"/>
      <c r="V75" s="23"/>
      <c r="W75" s="23"/>
      <c r="X75" s="23"/>
      <c r="Y75" s="23"/>
      <c r="Z75" s="23"/>
      <c r="AA75" s="23"/>
      <c r="AB75" s="30"/>
      <c r="AC75" s="30"/>
      <c r="AD75" s="23"/>
      <c r="AE75" s="23"/>
    </row>
    <row r="76" spans="3:31" x14ac:dyDescent="0.35">
      <c r="C76" s="23"/>
      <c r="D76" s="23"/>
      <c r="E76" s="23"/>
      <c r="F76" s="23"/>
      <c r="G76" s="23"/>
      <c r="I76" s="23"/>
      <c r="J76" s="23"/>
      <c r="K76" s="30"/>
      <c r="L76" s="30"/>
      <c r="M76" s="23"/>
      <c r="N76" s="23"/>
      <c r="P76" s="40"/>
      <c r="T76" s="23"/>
      <c r="U76" s="23"/>
      <c r="V76" s="23"/>
      <c r="W76" s="23"/>
      <c r="X76" s="23"/>
      <c r="Y76" s="23"/>
      <c r="Z76" s="23"/>
      <c r="AA76" s="23"/>
      <c r="AB76" s="30"/>
      <c r="AC76" s="30"/>
      <c r="AD76" s="23"/>
      <c r="AE76" s="23"/>
    </row>
    <row r="77" spans="3:31" x14ac:dyDescent="0.35">
      <c r="C77" s="23"/>
      <c r="D77" s="23"/>
      <c r="E77" s="23"/>
      <c r="F77" s="23"/>
      <c r="G77" s="23"/>
      <c r="I77" s="23"/>
      <c r="J77" s="23"/>
      <c r="K77" s="30"/>
      <c r="L77" s="30"/>
      <c r="M77" s="23"/>
      <c r="N77" s="23"/>
      <c r="P77" s="40"/>
      <c r="T77" s="23"/>
      <c r="U77" s="23"/>
      <c r="V77" s="23"/>
      <c r="W77" s="23"/>
      <c r="X77" s="23"/>
      <c r="Y77" s="23"/>
      <c r="Z77" s="23"/>
      <c r="AA77" s="23"/>
      <c r="AB77" s="30"/>
      <c r="AC77" s="30"/>
      <c r="AD77" s="23"/>
      <c r="AE77" s="23"/>
    </row>
    <row r="78" spans="3:31" x14ac:dyDescent="0.35">
      <c r="C78" s="23"/>
      <c r="D78" s="23"/>
      <c r="E78" s="23"/>
      <c r="F78" s="23"/>
      <c r="G78" s="23"/>
      <c r="I78" s="23"/>
      <c r="J78" s="23"/>
      <c r="K78" s="30"/>
      <c r="L78" s="30"/>
      <c r="M78" s="23"/>
      <c r="N78" s="23"/>
      <c r="P78" s="40"/>
      <c r="T78" s="23"/>
      <c r="U78" s="23"/>
      <c r="V78" s="23"/>
      <c r="W78" s="23"/>
      <c r="X78" s="23"/>
      <c r="Y78" s="23"/>
      <c r="Z78" s="23"/>
      <c r="AA78" s="23"/>
      <c r="AB78" s="30"/>
      <c r="AC78" s="30"/>
      <c r="AD78" s="23"/>
      <c r="AE78" s="23"/>
    </row>
    <row r="79" spans="3:31" x14ac:dyDescent="0.35">
      <c r="C79" s="23"/>
      <c r="D79" s="23"/>
      <c r="E79" s="23"/>
      <c r="F79" s="23"/>
      <c r="G79" s="23"/>
      <c r="I79" s="23"/>
      <c r="J79" s="23"/>
      <c r="K79" s="30"/>
      <c r="L79" s="30"/>
      <c r="M79" s="23"/>
      <c r="N79" s="23"/>
      <c r="P79" s="40"/>
      <c r="T79" s="23"/>
      <c r="U79" s="23"/>
      <c r="V79" s="23"/>
      <c r="W79" s="23"/>
      <c r="X79" s="23"/>
      <c r="Y79" s="23"/>
      <c r="Z79" s="23"/>
      <c r="AA79" s="23"/>
      <c r="AB79" s="30"/>
      <c r="AC79" s="30"/>
      <c r="AD79" s="23"/>
      <c r="AE79" s="23"/>
    </row>
    <row r="80" spans="3:31" x14ac:dyDescent="0.35">
      <c r="C80" s="23"/>
      <c r="D80" s="23"/>
      <c r="E80" s="23"/>
      <c r="F80" s="23"/>
      <c r="G80" s="23"/>
      <c r="I80" s="23"/>
      <c r="J80" s="23"/>
      <c r="K80" s="30"/>
      <c r="L80" s="30"/>
      <c r="M80" s="23"/>
      <c r="N80" s="23"/>
      <c r="T80" s="23"/>
      <c r="U80" s="23"/>
      <c r="V80" s="23"/>
      <c r="W80" s="23"/>
      <c r="X80" s="23"/>
      <c r="Y80" s="23"/>
      <c r="Z80" s="23"/>
      <c r="AA80" s="23"/>
      <c r="AB80" s="30"/>
      <c r="AC80" s="30"/>
      <c r="AD80" s="23"/>
      <c r="AE80" s="23"/>
    </row>
    <row r="81" spans="3:31" x14ac:dyDescent="0.35">
      <c r="C81" s="23"/>
      <c r="D81" s="23"/>
      <c r="E81" s="23"/>
      <c r="F81" s="23"/>
      <c r="G81" s="23"/>
      <c r="I81" s="23"/>
      <c r="J81" s="23"/>
      <c r="K81" s="30"/>
      <c r="L81" s="30"/>
      <c r="M81" s="23"/>
      <c r="N81" s="23"/>
      <c r="T81" s="23"/>
      <c r="U81" s="23"/>
      <c r="V81" s="23"/>
      <c r="W81" s="23"/>
      <c r="X81" s="23"/>
      <c r="Y81" s="23"/>
      <c r="Z81" s="23"/>
      <c r="AA81" s="23"/>
      <c r="AB81" s="30"/>
      <c r="AC81" s="30"/>
      <c r="AD81" s="23"/>
      <c r="AE81" s="23"/>
    </row>
    <row r="82" spans="3:31" x14ac:dyDescent="0.35">
      <c r="C82" s="23"/>
      <c r="D82" s="23"/>
      <c r="E82" s="23"/>
      <c r="F82" s="23"/>
      <c r="G82" s="23"/>
      <c r="I82" s="23"/>
      <c r="J82" s="23"/>
      <c r="K82" s="30"/>
      <c r="L82" s="30"/>
      <c r="M82" s="23"/>
      <c r="N82" s="23"/>
      <c r="T82" s="23"/>
      <c r="U82" s="23"/>
      <c r="V82" s="23"/>
      <c r="W82" s="23"/>
      <c r="X82" s="23"/>
      <c r="Y82" s="23"/>
      <c r="Z82" s="23"/>
      <c r="AA82" s="23"/>
      <c r="AB82" s="30"/>
      <c r="AC82" s="30"/>
      <c r="AD82" s="23"/>
      <c r="AE82" s="23"/>
    </row>
    <row r="83" spans="3:31" x14ac:dyDescent="0.35">
      <c r="C83" s="23"/>
      <c r="D83" s="23"/>
      <c r="E83" s="23"/>
      <c r="F83" s="23"/>
      <c r="G83" s="23"/>
      <c r="I83" s="23"/>
      <c r="J83" s="23"/>
      <c r="K83" s="30"/>
      <c r="L83" s="30"/>
      <c r="M83" s="23"/>
      <c r="N83" s="23"/>
      <c r="T83" s="23"/>
      <c r="U83" s="23"/>
      <c r="V83" s="23"/>
      <c r="W83" s="23"/>
      <c r="X83" s="23"/>
      <c r="Y83" s="23"/>
      <c r="Z83" s="23"/>
      <c r="AA83" s="23"/>
      <c r="AB83" s="30"/>
      <c r="AC83" s="30"/>
      <c r="AD83" s="23"/>
      <c r="AE83" s="23"/>
    </row>
    <row r="84" spans="3:31" x14ac:dyDescent="0.35">
      <c r="C84" s="23"/>
      <c r="D84" s="23"/>
      <c r="E84" s="23"/>
      <c r="F84" s="23"/>
      <c r="G84" s="23"/>
      <c r="I84" s="23"/>
      <c r="J84" s="23"/>
      <c r="K84" s="30"/>
      <c r="L84" s="30"/>
      <c r="M84" s="23"/>
      <c r="N84" s="23"/>
      <c r="P84" s="40"/>
      <c r="T84" s="23"/>
      <c r="U84" s="23"/>
      <c r="V84" s="23"/>
      <c r="W84" s="23"/>
      <c r="X84" s="23"/>
      <c r="Y84" s="23"/>
      <c r="Z84" s="23"/>
      <c r="AA84" s="23"/>
      <c r="AB84" s="30"/>
      <c r="AC84" s="30"/>
      <c r="AD84" s="23"/>
      <c r="AE84" s="23"/>
    </row>
    <row r="85" spans="3:31" x14ac:dyDescent="0.35">
      <c r="C85" s="23"/>
      <c r="D85" s="23"/>
      <c r="E85" s="23"/>
      <c r="F85" s="23"/>
      <c r="G85" s="23"/>
      <c r="I85" s="23"/>
      <c r="J85" s="23"/>
      <c r="K85" s="30"/>
      <c r="L85" s="30"/>
      <c r="M85" s="23"/>
      <c r="N85" s="23"/>
      <c r="P85" s="40"/>
      <c r="T85" s="23"/>
      <c r="U85" s="23"/>
      <c r="V85" s="23"/>
      <c r="W85" s="23"/>
      <c r="X85" s="23"/>
      <c r="Y85" s="23"/>
      <c r="Z85" s="23"/>
      <c r="AA85" s="23"/>
      <c r="AB85" s="30"/>
      <c r="AC85" s="30"/>
      <c r="AD85" s="23"/>
      <c r="AE85" s="23"/>
    </row>
    <row r="86" spans="3:31" x14ac:dyDescent="0.35">
      <c r="C86" s="23"/>
      <c r="D86" s="23"/>
      <c r="E86" s="23"/>
      <c r="F86" s="23"/>
      <c r="G86" s="23"/>
      <c r="I86" s="23"/>
      <c r="J86" s="23"/>
      <c r="K86" s="30"/>
      <c r="L86" s="30"/>
      <c r="M86" s="23"/>
      <c r="N86" s="23"/>
      <c r="P86" s="40"/>
      <c r="T86" s="23"/>
      <c r="U86" s="23"/>
      <c r="V86" s="23"/>
      <c r="W86" s="23"/>
      <c r="X86" s="23"/>
      <c r="Y86" s="23"/>
      <c r="Z86" s="23"/>
      <c r="AA86" s="23"/>
      <c r="AB86" s="30"/>
      <c r="AC86" s="30"/>
      <c r="AD86" s="23"/>
      <c r="AE86" s="23"/>
    </row>
    <row r="87" spans="3:31" x14ac:dyDescent="0.35">
      <c r="C87" s="23"/>
      <c r="D87" s="23"/>
      <c r="E87" s="23"/>
      <c r="F87" s="23"/>
      <c r="G87" s="23"/>
      <c r="I87" s="23"/>
      <c r="J87" s="23"/>
      <c r="K87" s="30"/>
      <c r="L87" s="30"/>
      <c r="M87" s="23"/>
      <c r="N87" s="23"/>
      <c r="P87" s="40"/>
      <c r="T87" s="23"/>
      <c r="U87" s="23"/>
      <c r="V87" s="23"/>
      <c r="W87" s="23"/>
      <c r="X87" s="23"/>
      <c r="Y87" s="23"/>
      <c r="Z87" s="23"/>
      <c r="AA87" s="23"/>
      <c r="AB87" s="30"/>
      <c r="AC87" s="30"/>
      <c r="AD87" s="23"/>
      <c r="AE87" s="23"/>
    </row>
    <row r="88" spans="3:31" x14ac:dyDescent="0.35">
      <c r="C88" s="23"/>
      <c r="D88" s="23"/>
      <c r="E88" s="23"/>
      <c r="F88" s="23"/>
      <c r="G88" s="23"/>
      <c r="I88" s="23"/>
      <c r="J88" s="23"/>
      <c r="K88" s="30"/>
      <c r="L88" s="30"/>
      <c r="M88" s="23"/>
      <c r="N88" s="23"/>
      <c r="P88" s="40"/>
      <c r="T88" s="23"/>
      <c r="U88" s="23"/>
      <c r="V88" s="23"/>
      <c r="W88" s="23"/>
      <c r="X88" s="23"/>
      <c r="Y88" s="23"/>
      <c r="Z88" s="23"/>
      <c r="AA88" s="23"/>
      <c r="AB88" s="30"/>
      <c r="AC88" s="30"/>
      <c r="AD88" s="23"/>
      <c r="AE88" s="23"/>
    </row>
    <row r="89" spans="3:31" x14ac:dyDescent="0.35">
      <c r="C89" s="23"/>
      <c r="D89" s="23"/>
      <c r="E89" s="23"/>
      <c r="F89" s="23"/>
      <c r="G89" s="23"/>
      <c r="I89" s="23"/>
      <c r="J89" s="23"/>
      <c r="K89" s="30"/>
      <c r="L89" s="30"/>
      <c r="M89" s="23"/>
      <c r="N89" s="23"/>
      <c r="P89" s="40"/>
      <c r="T89" s="23"/>
      <c r="U89" s="23"/>
      <c r="V89" s="23"/>
      <c r="W89" s="23"/>
      <c r="X89" s="23"/>
      <c r="Y89" s="23"/>
      <c r="Z89" s="23"/>
      <c r="AA89" s="23"/>
      <c r="AB89" s="30"/>
      <c r="AC89" s="30"/>
      <c r="AD89" s="23"/>
      <c r="AE89" s="23"/>
    </row>
    <row r="90" spans="3:31" x14ac:dyDescent="0.35">
      <c r="C90" s="23"/>
      <c r="D90" s="23"/>
      <c r="E90" s="23"/>
      <c r="F90" s="23"/>
      <c r="G90" s="23"/>
      <c r="I90" s="23"/>
      <c r="J90" s="23"/>
      <c r="K90" s="30"/>
      <c r="L90" s="30"/>
      <c r="M90" s="23"/>
      <c r="N90" s="23"/>
      <c r="T90" s="23"/>
      <c r="U90" s="23"/>
      <c r="V90" s="23"/>
      <c r="W90" s="23"/>
      <c r="X90" s="23"/>
      <c r="Y90" s="23"/>
      <c r="Z90" s="23"/>
      <c r="AA90" s="23"/>
      <c r="AB90" s="30"/>
      <c r="AC90" s="30"/>
      <c r="AD90" s="23"/>
      <c r="AE90" s="23"/>
    </row>
    <row r="91" spans="3:31" x14ac:dyDescent="0.35">
      <c r="C91" s="23"/>
      <c r="D91" s="23"/>
      <c r="E91" s="23"/>
      <c r="F91" s="23"/>
      <c r="G91" s="23"/>
      <c r="I91" s="23"/>
      <c r="J91" s="23"/>
      <c r="K91" s="30"/>
      <c r="L91" s="30"/>
      <c r="M91" s="23"/>
      <c r="N91" s="23"/>
      <c r="P91" s="40"/>
      <c r="T91" s="23"/>
      <c r="U91" s="23"/>
      <c r="V91" s="23"/>
      <c r="W91" s="23"/>
      <c r="X91" s="23"/>
      <c r="Y91" s="23"/>
      <c r="Z91" s="23"/>
      <c r="AA91" s="23"/>
      <c r="AB91" s="30"/>
      <c r="AC91" s="30"/>
      <c r="AD91" s="23"/>
      <c r="AE91" s="23"/>
    </row>
    <row r="92" spans="3:31" x14ac:dyDescent="0.35">
      <c r="C92" s="23"/>
      <c r="D92" s="23"/>
      <c r="E92" s="23"/>
      <c r="F92" s="23"/>
      <c r="G92" s="23"/>
      <c r="I92" s="23"/>
      <c r="J92" s="23"/>
      <c r="K92" s="30"/>
      <c r="L92" s="30"/>
      <c r="M92" s="23"/>
      <c r="N92" s="23"/>
      <c r="T92" s="23"/>
      <c r="U92" s="23"/>
      <c r="V92" s="23"/>
      <c r="W92" s="23"/>
      <c r="X92" s="23"/>
      <c r="Y92" s="23"/>
      <c r="Z92" s="23"/>
      <c r="AA92" s="23"/>
      <c r="AB92" s="30"/>
      <c r="AC92" s="30"/>
      <c r="AD92" s="23"/>
      <c r="AE92" s="23"/>
    </row>
    <row r="93" spans="3:31" x14ac:dyDescent="0.35">
      <c r="C93" s="23"/>
      <c r="D93" s="23"/>
      <c r="E93" s="23"/>
      <c r="F93" s="23"/>
      <c r="G93" s="23"/>
      <c r="I93" s="23"/>
      <c r="J93" s="23"/>
      <c r="K93" s="30"/>
      <c r="L93" s="30"/>
      <c r="M93" s="23"/>
      <c r="N93" s="23"/>
      <c r="T93" s="23"/>
      <c r="U93" s="23"/>
      <c r="V93" s="23"/>
      <c r="W93" s="23"/>
      <c r="X93" s="23"/>
      <c r="Y93" s="23"/>
      <c r="Z93" s="23"/>
      <c r="AA93" s="23"/>
      <c r="AB93" s="30"/>
      <c r="AC93" s="30"/>
      <c r="AD93" s="23"/>
      <c r="AE93" s="23"/>
    </row>
    <row r="94" spans="3:31" x14ac:dyDescent="0.35">
      <c r="C94" s="23"/>
      <c r="D94" s="23"/>
      <c r="E94" s="23"/>
      <c r="F94" s="23"/>
      <c r="G94" s="23"/>
      <c r="I94" s="23"/>
      <c r="J94" s="23"/>
      <c r="K94" s="30"/>
      <c r="L94" s="30"/>
      <c r="M94" s="23"/>
      <c r="N94" s="23"/>
      <c r="T94" s="23"/>
      <c r="U94" s="23"/>
      <c r="V94" s="23"/>
      <c r="W94" s="23"/>
      <c r="X94" s="23"/>
      <c r="Y94" s="23"/>
      <c r="Z94" s="23"/>
      <c r="AA94" s="23"/>
      <c r="AB94" s="30"/>
      <c r="AC94" s="30"/>
      <c r="AD94" s="23"/>
      <c r="AE94" s="23"/>
    </row>
    <row r="95" spans="3:31" x14ac:dyDescent="0.35">
      <c r="C95" s="23"/>
      <c r="D95" s="23"/>
      <c r="E95" s="23"/>
      <c r="F95" s="23"/>
      <c r="G95" s="23"/>
      <c r="I95" s="23"/>
      <c r="J95" s="23"/>
      <c r="K95" s="30"/>
      <c r="L95" s="30"/>
      <c r="M95" s="23"/>
      <c r="N95" s="23"/>
      <c r="T95" s="23"/>
      <c r="U95" s="23"/>
      <c r="V95" s="23"/>
      <c r="W95" s="23"/>
      <c r="X95" s="23"/>
      <c r="Y95" s="23"/>
      <c r="Z95" s="23"/>
      <c r="AA95" s="23"/>
      <c r="AB95" s="30"/>
      <c r="AC95" s="30"/>
      <c r="AD95" s="23"/>
      <c r="AE95" s="23"/>
    </row>
    <row r="96" spans="3:31" x14ac:dyDescent="0.35">
      <c r="C96" s="23"/>
      <c r="D96" s="23"/>
      <c r="E96" s="23"/>
      <c r="F96" s="23"/>
      <c r="G96" s="23"/>
      <c r="I96" s="23"/>
      <c r="J96" s="23"/>
      <c r="K96" s="30"/>
      <c r="L96" s="30"/>
      <c r="M96" s="23"/>
      <c r="N96" s="23"/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3:31" x14ac:dyDescent="0.35">
      <c r="C97" s="23"/>
      <c r="D97" s="23"/>
      <c r="E97" s="23"/>
      <c r="F97" s="23"/>
      <c r="G97" s="23"/>
      <c r="I97" s="23"/>
      <c r="J97" s="23"/>
      <c r="K97" s="30"/>
      <c r="L97" s="30"/>
      <c r="M97" s="23"/>
      <c r="N97" s="23"/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3:31" x14ac:dyDescent="0.35">
      <c r="C98" s="23"/>
      <c r="D98" s="23"/>
      <c r="E98" s="23"/>
      <c r="F98" s="23"/>
      <c r="G98" s="23"/>
      <c r="I98" s="23"/>
      <c r="J98" s="23"/>
      <c r="K98" s="30"/>
      <c r="L98" s="30"/>
      <c r="M98" s="23"/>
      <c r="N98" s="23"/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3:31" x14ac:dyDescent="0.3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3:31" x14ac:dyDescent="0.3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3:31" x14ac:dyDescent="0.3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3:31" x14ac:dyDescent="0.3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3:31" x14ac:dyDescent="0.3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3:31" x14ac:dyDescent="0.3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3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3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</sheetData>
  <mergeCells count="2">
    <mergeCell ref="A1:B1"/>
    <mergeCell ref="R1:S1"/>
  </mergeCells>
  <conditionalFormatting sqref="R3:R46 A1:A1048576">
    <cfRule type="containsText" dxfId="59" priority="3" operator="containsText" text="u">
      <formula>NOT(ISERROR(SEARCH("u",A1)))</formula>
    </cfRule>
    <cfRule type="containsText" dxfId="58" priority="4" operator="containsText" text="i">
      <formula>NOT(ISERROR(SEARCH("i",A1)))</formula>
    </cfRule>
  </conditionalFormatting>
  <conditionalFormatting sqref="R1">
    <cfRule type="containsText" dxfId="57" priority="1" operator="containsText" text="u">
      <formula>NOT(ISERROR(SEARCH("u",R1)))</formula>
    </cfRule>
    <cfRule type="containsText" dxfId="56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EF34-FC31-46F2-8EE8-93A78745243E}">
  <sheetPr codeName="Hoja23"/>
  <dimension ref="A1:Q193"/>
  <sheetViews>
    <sheetView showGridLines="0" zoomScaleNormal="100" workbookViewId="0">
      <pane ySplit="1" topLeftCell="A30" activePane="bottomLeft" state="frozen"/>
      <selection pane="bottomLeft" activeCell="X190" sqref="X190"/>
    </sheetView>
  </sheetViews>
  <sheetFormatPr baseColWidth="10" defaultColWidth="11.453125" defaultRowHeight="14.5" x14ac:dyDescent="0.35"/>
  <cols>
    <col min="1" max="1" width="7.81640625" bestFit="1" customWidth="1"/>
    <col min="2" max="2" width="9.1796875" style="28" bestFit="1" customWidth="1"/>
    <col min="3" max="7" width="9.81640625" customWidth="1"/>
    <col min="8" max="8" width="9.81640625" style="23" customWidth="1"/>
    <col min="9" max="9" width="9.81640625" customWidth="1"/>
    <col min="10" max="10" width="11.81640625" bestFit="1" customWidth="1"/>
    <col min="11" max="13" width="2.1796875" customWidth="1"/>
    <col min="14" max="14" width="8.1796875" customWidth="1"/>
    <col min="15" max="15" width="8.1796875" bestFit="1" customWidth="1"/>
    <col min="16" max="16" width="5.54296875" style="31" bestFit="1" customWidth="1"/>
    <col min="17" max="17" width="1.81640625" style="31" customWidth="1"/>
    <col min="18" max="18" width="8.81640625" bestFit="1" customWidth="1"/>
  </cols>
  <sheetData>
    <row r="1" spans="1:17" x14ac:dyDescent="0.35">
      <c r="A1" t="s">
        <v>71</v>
      </c>
      <c r="B1" t="s">
        <v>86</v>
      </c>
      <c r="C1" s="32" t="s">
        <v>64</v>
      </c>
      <c r="D1" s="32" t="s">
        <v>36</v>
      </c>
      <c r="E1" s="32" t="s">
        <v>65</v>
      </c>
      <c r="F1" s="32" t="s">
        <v>63</v>
      </c>
      <c r="G1" s="32" t="s">
        <v>69</v>
      </c>
      <c r="H1" s="32" t="s">
        <v>79</v>
      </c>
      <c r="I1" s="32" t="s">
        <v>68</v>
      </c>
      <c r="J1" s="32" t="s">
        <v>67</v>
      </c>
      <c r="K1" s="32" t="s">
        <v>66</v>
      </c>
      <c r="L1" s="32" t="s">
        <v>75</v>
      </c>
      <c r="M1" s="32" t="s">
        <v>76</v>
      </c>
      <c r="N1" s="38" t="s">
        <v>82</v>
      </c>
      <c r="O1" s="38" t="s">
        <v>77</v>
      </c>
      <c r="P1" s="32"/>
      <c r="Q1"/>
    </row>
    <row r="2" spans="1:17" x14ac:dyDescent="0.35">
      <c r="A2" t="s">
        <v>63</v>
      </c>
      <c r="B2" t="s">
        <v>88</v>
      </c>
      <c r="C2" s="28">
        <v>1</v>
      </c>
      <c r="D2" s="23">
        <v>0.21527777777777779</v>
      </c>
      <c r="E2" s="23"/>
      <c r="F2" s="23"/>
      <c r="G2" s="23">
        <v>4.2361111111111106E-2</v>
      </c>
      <c r="H2" s="23">
        <v>0.25763888888888892</v>
      </c>
      <c r="I2" s="23"/>
      <c r="J2" s="23"/>
      <c r="K2" s="23">
        <v>0.21527777777777779</v>
      </c>
      <c r="L2" s="30">
        <v>4.2361111111111127E-2</v>
      </c>
      <c r="M2" s="30">
        <v>4.2361111111111127E-2</v>
      </c>
      <c r="N2" s="23">
        <v>0.18402777777777768</v>
      </c>
      <c r="O2" s="23">
        <v>0.22638888888888881</v>
      </c>
      <c r="P2" s="23"/>
      <c r="Q2"/>
    </row>
    <row r="3" spans="1:17" x14ac:dyDescent="0.35">
      <c r="A3" t="s">
        <v>63</v>
      </c>
      <c r="B3" t="s">
        <v>96</v>
      </c>
      <c r="C3" s="28">
        <v>5</v>
      </c>
      <c r="D3" s="23">
        <v>0.21527777777777779</v>
      </c>
      <c r="E3" s="23"/>
      <c r="F3" s="23"/>
      <c r="G3" s="23">
        <v>3.6805555555555557E-2</v>
      </c>
      <c r="H3" s="23">
        <v>0.25208333333333333</v>
      </c>
      <c r="I3" s="23"/>
      <c r="J3" s="23"/>
      <c r="K3" s="23">
        <v>0.21527777777777779</v>
      </c>
      <c r="L3" s="30">
        <v>3.6805555555555536E-2</v>
      </c>
      <c r="M3" s="30">
        <v>3.6805555555555536E-2</v>
      </c>
      <c r="N3" s="23">
        <v>0.1694444444444444</v>
      </c>
      <c r="O3" s="23">
        <v>0.20624999999999993</v>
      </c>
      <c r="P3" s="23"/>
      <c r="Q3" s="22"/>
    </row>
    <row r="4" spans="1:17" x14ac:dyDescent="0.35">
      <c r="A4" t="s">
        <v>63</v>
      </c>
      <c r="B4" t="s">
        <v>88</v>
      </c>
      <c r="C4" s="28">
        <v>2</v>
      </c>
      <c r="D4" s="23">
        <v>0.22569444444444445</v>
      </c>
      <c r="E4" s="23">
        <v>1.0416666666666657E-2</v>
      </c>
      <c r="F4" s="23">
        <v>1.0416666666666666E-2</v>
      </c>
      <c r="G4" s="23">
        <v>4.2361111111111106E-2</v>
      </c>
      <c r="H4" s="23">
        <v>0.26805555555555555</v>
      </c>
      <c r="I4" s="23">
        <v>0</v>
      </c>
      <c r="J4" s="23"/>
      <c r="K4" s="23">
        <v>0.22569444444444445</v>
      </c>
      <c r="L4" s="30">
        <v>4.2361111111111099E-2</v>
      </c>
      <c r="M4" s="30">
        <v>4.2361111111111099E-2</v>
      </c>
      <c r="N4" s="23">
        <v>0.18402777777777768</v>
      </c>
      <c r="O4" s="23">
        <v>0.22638888888888878</v>
      </c>
      <c r="P4" s="23"/>
      <c r="Q4" s="22"/>
    </row>
    <row r="5" spans="1:17" x14ac:dyDescent="0.35">
      <c r="A5" t="s">
        <v>63</v>
      </c>
      <c r="B5" t="s">
        <v>96</v>
      </c>
      <c r="C5" s="28">
        <v>6</v>
      </c>
      <c r="D5" s="23">
        <v>0.22569444444444445</v>
      </c>
      <c r="E5" s="23">
        <v>1.0416666666666657E-2</v>
      </c>
      <c r="F5" s="23">
        <v>1.0416666666666666E-2</v>
      </c>
      <c r="G5" s="23">
        <v>3.6805555555555557E-2</v>
      </c>
      <c r="H5" s="23">
        <v>0.26250000000000001</v>
      </c>
      <c r="I5" s="23">
        <v>0</v>
      </c>
      <c r="J5" s="23"/>
      <c r="K5" s="23">
        <v>0.22569444444444445</v>
      </c>
      <c r="L5" s="30">
        <v>3.6805555555555564E-2</v>
      </c>
      <c r="M5" s="30">
        <v>3.6805555555555564E-2</v>
      </c>
      <c r="N5" s="23">
        <v>0.1694444444444444</v>
      </c>
      <c r="O5" s="23">
        <v>0.20624999999999996</v>
      </c>
      <c r="P5" s="23"/>
      <c r="Q5" s="22"/>
    </row>
    <row r="6" spans="1:17" x14ac:dyDescent="0.35">
      <c r="A6" t="s">
        <v>63</v>
      </c>
      <c r="B6" t="s">
        <v>88</v>
      </c>
      <c r="C6" s="28">
        <v>3</v>
      </c>
      <c r="D6" s="23">
        <v>0.23611111111111113</v>
      </c>
      <c r="E6" s="23">
        <v>1.0416666666666685E-2</v>
      </c>
      <c r="F6" s="23">
        <v>1.0416666666666666E-2</v>
      </c>
      <c r="G6" s="23">
        <v>4.2361111111111106E-2</v>
      </c>
      <c r="H6" s="23">
        <v>0.27847222222222223</v>
      </c>
      <c r="I6" s="23">
        <v>0</v>
      </c>
      <c r="J6" s="23"/>
      <c r="K6" s="23">
        <v>0.23611111111111113</v>
      </c>
      <c r="L6" s="30">
        <v>4.2361111111111099E-2</v>
      </c>
      <c r="M6" s="30">
        <v>4.2361111111111099E-2</v>
      </c>
      <c r="N6" s="23">
        <v>0.1826388888888888</v>
      </c>
      <c r="O6" s="23">
        <v>0.22499999999999989</v>
      </c>
      <c r="P6" s="23"/>
      <c r="Q6" s="22"/>
    </row>
    <row r="7" spans="1:17" x14ac:dyDescent="0.35">
      <c r="A7" t="s">
        <v>63</v>
      </c>
      <c r="B7" t="s">
        <v>96</v>
      </c>
      <c r="C7" s="28">
        <v>7</v>
      </c>
      <c r="D7" s="23">
        <v>0.23611111111111113</v>
      </c>
      <c r="E7" s="23">
        <v>1.0416666666666685E-2</v>
      </c>
      <c r="F7" s="23">
        <v>1.0416666666666666E-2</v>
      </c>
      <c r="G7" s="23">
        <v>3.6805555555555557E-2</v>
      </c>
      <c r="H7" s="23">
        <v>0.2729166666666667</v>
      </c>
      <c r="I7" s="23">
        <v>0</v>
      </c>
      <c r="J7" s="23"/>
      <c r="K7" s="23">
        <v>0.23611111111111113</v>
      </c>
      <c r="L7" s="30">
        <v>3.6805555555555564E-2</v>
      </c>
      <c r="M7" s="30">
        <v>3.6805555555555564E-2</v>
      </c>
      <c r="N7" s="23">
        <v>0.25416666666666654</v>
      </c>
      <c r="O7" s="23">
        <v>0.29097222222222208</v>
      </c>
      <c r="P7" s="23"/>
      <c r="Q7" s="22"/>
    </row>
    <row r="8" spans="1:17" x14ac:dyDescent="0.35">
      <c r="A8" t="s">
        <v>63</v>
      </c>
      <c r="B8" t="s">
        <v>88</v>
      </c>
      <c r="C8" s="28">
        <v>4</v>
      </c>
      <c r="D8" s="23">
        <v>0.24652777777777779</v>
      </c>
      <c r="E8" s="23">
        <v>1.0416666666666657E-2</v>
      </c>
      <c r="F8" s="23">
        <v>1.0416666666666666E-2</v>
      </c>
      <c r="G8" s="23">
        <v>4.2361111111111106E-2</v>
      </c>
      <c r="H8" s="23">
        <v>0.28888888888888892</v>
      </c>
      <c r="I8" s="23">
        <v>0</v>
      </c>
      <c r="J8" s="23"/>
      <c r="K8" s="23">
        <v>0.24652777777777779</v>
      </c>
      <c r="L8" s="30">
        <v>4.2361111111111127E-2</v>
      </c>
      <c r="M8" s="30">
        <v>4.2361111111111127E-2</v>
      </c>
      <c r="N8" s="23">
        <v>0.14444444444444438</v>
      </c>
      <c r="O8" s="23">
        <v>0.1868055555555555</v>
      </c>
      <c r="P8" s="23"/>
      <c r="Q8" s="22"/>
    </row>
    <row r="9" spans="1:17" x14ac:dyDescent="0.35">
      <c r="A9" t="s">
        <v>63</v>
      </c>
      <c r="B9" t="s">
        <v>96</v>
      </c>
      <c r="C9" s="28">
        <v>8</v>
      </c>
      <c r="D9" s="23">
        <v>0.24652777777777779</v>
      </c>
      <c r="E9" s="23">
        <v>1.0416666666666657E-2</v>
      </c>
      <c r="F9" s="23">
        <v>1.0416666666666666E-2</v>
      </c>
      <c r="G9" s="23">
        <v>3.6805555555555557E-2</v>
      </c>
      <c r="H9" s="23">
        <v>0.28333333333333333</v>
      </c>
      <c r="I9" s="23">
        <v>0</v>
      </c>
      <c r="J9" s="23"/>
      <c r="K9" s="23">
        <v>0.24652777777777779</v>
      </c>
      <c r="L9" s="30">
        <v>3.6805555555555536E-2</v>
      </c>
      <c r="M9" s="30">
        <v>3.6805555555555536E-2</v>
      </c>
      <c r="N9" s="23">
        <v>0.25416666666666654</v>
      </c>
      <c r="O9" s="23">
        <v>0.29097222222222208</v>
      </c>
      <c r="P9" s="23"/>
      <c r="Q9" s="22"/>
    </row>
    <row r="10" spans="1:17" x14ac:dyDescent="0.35">
      <c r="B10" t="s">
        <v>88</v>
      </c>
      <c r="C10" s="28">
        <v>5</v>
      </c>
      <c r="D10" s="23">
        <v>0.25208333333333333</v>
      </c>
      <c r="E10" s="23">
        <v>5.5555555555555358E-3</v>
      </c>
      <c r="F10" s="23">
        <v>1.0416666666666666E-2</v>
      </c>
      <c r="G10" s="23">
        <v>4.2361111111111106E-2</v>
      </c>
      <c r="H10" s="23">
        <v>0.29444444444444445</v>
      </c>
      <c r="I10" s="23">
        <v>4.8611111111111494E-3</v>
      </c>
      <c r="J10" s="23"/>
      <c r="K10" s="23">
        <v>0.25694444444444448</v>
      </c>
      <c r="L10" s="30">
        <v>4.2361111111111127E-2</v>
      </c>
      <c r="M10" s="30">
        <v>4.2361111111111127E-2</v>
      </c>
      <c r="N10" s="23">
        <v>0.18402777777777768</v>
      </c>
      <c r="O10" s="23">
        <v>0.22638888888888881</v>
      </c>
      <c r="P10" s="23"/>
      <c r="Q10" s="22"/>
    </row>
    <row r="11" spans="1:17" x14ac:dyDescent="0.35">
      <c r="B11" t="s">
        <v>96</v>
      </c>
      <c r="C11" s="28">
        <v>1</v>
      </c>
      <c r="D11" s="23">
        <v>0.25763888888888892</v>
      </c>
      <c r="E11" s="23">
        <v>1.1111111111111127E-2</v>
      </c>
      <c r="F11" s="23">
        <v>1.0416666666666666E-2</v>
      </c>
      <c r="G11" s="23">
        <v>3.6805555555555557E-2</v>
      </c>
      <c r="H11" s="23">
        <v>0.29444444444444445</v>
      </c>
      <c r="I11" s="23">
        <v>-6.9444444444444198E-4</v>
      </c>
      <c r="J11" s="23"/>
      <c r="K11" s="23">
        <v>0.25694444444444448</v>
      </c>
      <c r="L11" s="30">
        <v>3.6805555555555536E-2</v>
      </c>
      <c r="M11" s="30">
        <v>3.6805555555555536E-2</v>
      </c>
      <c r="N11" s="23">
        <v>0.2541666666666666</v>
      </c>
      <c r="O11" s="23">
        <v>0.29097222222222213</v>
      </c>
      <c r="P11" s="23"/>
      <c r="Q11" s="22"/>
    </row>
    <row r="12" spans="1:17" x14ac:dyDescent="0.35">
      <c r="B12" t="s">
        <v>88</v>
      </c>
      <c r="C12" s="28">
        <v>6</v>
      </c>
      <c r="D12" s="23">
        <v>0.26250000000000001</v>
      </c>
      <c r="E12" s="23">
        <v>1.0416666666666685E-2</v>
      </c>
      <c r="F12" s="23">
        <v>1.0416666666666666E-2</v>
      </c>
      <c r="G12" s="23">
        <v>4.2361111111111106E-2</v>
      </c>
      <c r="H12" s="23">
        <v>0.30486111111111114</v>
      </c>
      <c r="I12" s="23">
        <v>0</v>
      </c>
      <c r="J12" s="23"/>
      <c r="K12" s="23">
        <v>0.26250000000000001</v>
      </c>
      <c r="L12" s="30">
        <v>4.2361111111111127E-2</v>
      </c>
      <c r="M12" s="30">
        <v>4.2361111111111127E-2</v>
      </c>
      <c r="N12" s="23">
        <v>0.18402777777777771</v>
      </c>
      <c r="O12" s="23">
        <v>0.22638888888888883</v>
      </c>
      <c r="P12" s="23"/>
      <c r="Q12" s="40"/>
    </row>
    <row r="13" spans="1:17" x14ac:dyDescent="0.35">
      <c r="B13" t="s">
        <v>96</v>
      </c>
      <c r="C13" s="28">
        <v>2</v>
      </c>
      <c r="D13" s="23">
        <v>0.26805555555555555</v>
      </c>
      <c r="E13" s="23">
        <v>1.041666666666663E-2</v>
      </c>
      <c r="F13" s="23">
        <v>1.0416666666666666E-2</v>
      </c>
      <c r="G13" s="23">
        <v>3.6805555555555557E-2</v>
      </c>
      <c r="H13" s="23">
        <v>0.30486111111111108</v>
      </c>
      <c r="I13" s="23">
        <v>0</v>
      </c>
      <c r="J13" s="23"/>
      <c r="K13" s="23">
        <v>0.26805555555555555</v>
      </c>
      <c r="L13" s="30">
        <v>3.6805555555555536E-2</v>
      </c>
      <c r="M13" s="30">
        <v>3.6805555555555536E-2</v>
      </c>
      <c r="N13" s="23">
        <v>0.25416666666666654</v>
      </c>
      <c r="O13" s="23">
        <v>0.29097222222222208</v>
      </c>
      <c r="P13" s="23"/>
      <c r="Q13" s="22"/>
    </row>
    <row r="14" spans="1:17" x14ac:dyDescent="0.35">
      <c r="B14" t="s">
        <v>88</v>
      </c>
      <c r="C14" s="28">
        <v>7</v>
      </c>
      <c r="D14" s="23">
        <v>0.2729166666666667</v>
      </c>
      <c r="E14" s="23">
        <v>1.0416666666666685E-2</v>
      </c>
      <c r="F14" s="23">
        <v>1.0416666666666666E-2</v>
      </c>
      <c r="G14" s="23">
        <v>4.2361111111111106E-2</v>
      </c>
      <c r="H14" s="23">
        <v>0.31527777777777782</v>
      </c>
      <c r="I14" s="23">
        <v>0</v>
      </c>
      <c r="J14" s="23"/>
      <c r="K14" s="23">
        <v>0.2729166666666667</v>
      </c>
      <c r="L14" s="30">
        <v>4.2361111111111127E-2</v>
      </c>
      <c r="M14" s="30">
        <v>4.2361111111111127E-2</v>
      </c>
      <c r="N14" s="23">
        <v>0.22083333333333324</v>
      </c>
      <c r="O14" s="23">
        <v>0.2631944444444444</v>
      </c>
      <c r="P14" s="23"/>
      <c r="Q14" s="22"/>
    </row>
    <row r="15" spans="1:17" x14ac:dyDescent="0.35">
      <c r="B15" t="s">
        <v>96</v>
      </c>
      <c r="C15" s="28">
        <v>3</v>
      </c>
      <c r="D15" s="23">
        <v>0.27847222222222223</v>
      </c>
      <c r="E15" s="23">
        <v>1.0416666666666685E-2</v>
      </c>
      <c r="F15" s="23">
        <v>1.0416666666666666E-2</v>
      </c>
      <c r="G15" s="23">
        <v>3.6805555555555557E-2</v>
      </c>
      <c r="H15" s="23">
        <v>0.31527777777777777</v>
      </c>
      <c r="I15" s="23">
        <v>0</v>
      </c>
      <c r="J15" s="23"/>
      <c r="K15" s="23">
        <v>0.27847222222222223</v>
      </c>
      <c r="L15" s="30">
        <v>3.6805555555555536E-2</v>
      </c>
      <c r="M15" s="30">
        <v>3.6805555555555536E-2</v>
      </c>
      <c r="N15" s="23">
        <v>0.25416666666666654</v>
      </c>
      <c r="O15" s="23">
        <v>0.29097222222222208</v>
      </c>
      <c r="P15" s="23"/>
      <c r="Q15" s="22"/>
    </row>
    <row r="16" spans="1:17" x14ac:dyDescent="0.35">
      <c r="B16" t="s">
        <v>88</v>
      </c>
      <c r="C16" s="28">
        <v>8</v>
      </c>
      <c r="D16" s="23">
        <v>0.28333333333333333</v>
      </c>
      <c r="E16" s="23">
        <v>1.041666666666663E-2</v>
      </c>
      <c r="F16" s="23">
        <v>1.0416666666666666E-2</v>
      </c>
      <c r="G16" s="23">
        <v>4.2361111111111106E-2</v>
      </c>
      <c r="H16" s="23">
        <v>0.32569444444444445</v>
      </c>
      <c r="I16" s="23">
        <v>0</v>
      </c>
      <c r="J16" s="23"/>
      <c r="K16" s="23">
        <v>0.28333333333333333</v>
      </c>
      <c r="L16" s="30">
        <v>4.2361111111111127E-2</v>
      </c>
      <c r="M16" s="30">
        <v>4.2361111111111127E-2</v>
      </c>
      <c r="N16" s="23">
        <v>0.22083333333333321</v>
      </c>
      <c r="O16" s="23">
        <v>0.26319444444444434</v>
      </c>
      <c r="P16" s="23"/>
      <c r="Q16" s="40"/>
    </row>
    <row r="17" spans="1:17" x14ac:dyDescent="0.35">
      <c r="A17" t="s">
        <v>63</v>
      </c>
      <c r="B17" t="s">
        <v>88</v>
      </c>
      <c r="C17" s="28">
        <v>9</v>
      </c>
      <c r="D17" s="23">
        <v>0.28888888888888892</v>
      </c>
      <c r="E17" s="23">
        <v>5.5555555555555913E-3</v>
      </c>
      <c r="F17" s="23">
        <v>1.0416666666666666E-2</v>
      </c>
      <c r="G17" s="23">
        <v>4.2361111111111106E-2</v>
      </c>
      <c r="H17" s="23">
        <v>0.33125000000000004</v>
      </c>
      <c r="I17" s="23">
        <v>4.8611111111110938E-3</v>
      </c>
      <c r="J17" s="23"/>
      <c r="K17" s="23">
        <v>0.29375000000000001</v>
      </c>
      <c r="L17" s="30">
        <v>4.2361111111111127E-2</v>
      </c>
      <c r="M17" s="30">
        <v>4.2361111111111127E-2</v>
      </c>
      <c r="N17" s="23">
        <v>0.18402777777777768</v>
      </c>
      <c r="O17" s="23">
        <v>0.22638888888888881</v>
      </c>
      <c r="P17" s="23"/>
      <c r="Q17" s="40"/>
    </row>
    <row r="18" spans="1:17" x14ac:dyDescent="0.35">
      <c r="A18" s="22"/>
      <c r="B18" t="s">
        <v>96</v>
      </c>
      <c r="C18" s="28">
        <v>4</v>
      </c>
      <c r="D18" s="23">
        <v>0.28888888888888892</v>
      </c>
      <c r="E18" s="23">
        <v>1.0416666666666685E-2</v>
      </c>
      <c r="F18" s="23">
        <v>1.0416666666666666E-2</v>
      </c>
      <c r="G18" s="23">
        <v>3.6805555555555557E-2</v>
      </c>
      <c r="H18" s="23">
        <v>0.32569444444444445</v>
      </c>
      <c r="I18" s="23">
        <v>0</v>
      </c>
      <c r="J18" s="23"/>
      <c r="K18" s="23">
        <v>0.28888888888888892</v>
      </c>
      <c r="L18" s="30">
        <v>3.6805555555555536E-2</v>
      </c>
      <c r="M18" s="30">
        <v>3.6805555555555536E-2</v>
      </c>
      <c r="N18" s="23">
        <v>0.21180555555555552</v>
      </c>
      <c r="O18" s="23">
        <v>0.24861111111111106</v>
      </c>
      <c r="P18" s="23"/>
      <c r="Q18" s="40"/>
    </row>
    <row r="19" spans="1:17" x14ac:dyDescent="0.35">
      <c r="B19" t="s">
        <v>88</v>
      </c>
      <c r="C19" s="28">
        <v>1</v>
      </c>
      <c r="D19" s="23">
        <v>0.29444444444444445</v>
      </c>
      <c r="E19" s="23">
        <v>5.5555555555555358E-3</v>
      </c>
      <c r="F19" s="23">
        <v>5.5555555555555558E-3</v>
      </c>
      <c r="G19" s="23">
        <v>4.2361111111111106E-2</v>
      </c>
      <c r="H19" s="23">
        <v>0.33680555555555558</v>
      </c>
      <c r="I19" s="23">
        <v>0</v>
      </c>
      <c r="J19" s="23"/>
      <c r="K19" s="23">
        <v>0.29444444444444445</v>
      </c>
      <c r="L19" s="30">
        <v>4.2361111111111127E-2</v>
      </c>
      <c r="M19" s="30">
        <v>8.4722222222222254E-2</v>
      </c>
      <c r="N19" s="23">
        <v>0.18402777777777768</v>
      </c>
      <c r="O19" s="23">
        <v>0.26874999999999993</v>
      </c>
      <c r="P19" s="23"/>
      <c r="Q19" s="40"/>
    </row>
    <row r="20" spans="1:17" x14ac:dyDescent="0.35">
      <c r="A20" s="22"/>
      <c r="B20" t="s">
        <v>96</v>
      </c>
      <c r="C20" s="28">
        <v>5</v>
      </c>
      <c r="D20" s="23">
        <v>0.29444444444444445</v>
      </c>
      <c r="E20" s="23">
        <v>5.5555555555555358E-3</v>
      </c>
      <c r="F20" s="23">
        <v>5.5555555555555558E-3</v>
      </c>
      <c r="G20" s="23">
        <v>3.6805555555555557E-2</v>
      </c>
      <c r="H20" s="23">
        <v>0.33124999999999999</v>
      </c>
      <c r="I20" s="23">
        <v>0</v>
      </c>
      <c r="J20" s="23"/>
      <c r="K20" s="23">
        <v>0.29444444444444445</v>
      </c>
      <c r="L20" s="30">
        <v>3.6805555555555536E-2</v>
      </c>
      <c r="M20" s="30">
        <v>7.3611111111111072E-2</v>
      </c>
      <c r="N20" s="23">
        <v>0.1694444444444444</v>
      </c>
      <c r="O20" s="23">
        <v>0.24305555555555547</v>
      </c>
      <c r="P20" s="23"/>
      <c r="Q20" s="40"/>
    </row>
    <row r="21" spans="1:17" x14ac:dyDescent="0.35">
      <c r="A21" t="s">
        <v>63</v>
      </c>
      <c r="B21" t="s">
        <v>88</v>
      </c>
      <c r="C21" s="28">
        <v>10</v>
      </c>
      <c r="D21" s="23">
        <v>0.3</v>
      </c>
      <c r="E21" s="23">
        <v>5.5555555555555358E-3</v>
      </c>
      <c r="F21" s="23">
        <v>5.5555555555555558E-3</v>
      </c>
      <c r="G21" s="23">
        <v>4.2361111111111106E-2</v>
      </c>
      <c r="H21" s="23">
        <v>0.34236111111111112</v>
      </c>
      <c r="I21" s="23">
        <v>0</v>
      </c>
      <c r="J21" s="23"/>
      <c r="K21" s="23">
        <v>0.3</v>
      </c>
      <c r="L21" s="30">
        <v>4.2361111111111127E-2</v>
      </c>
      <c r="M21" s="30">
        <v>4.2361111111111127E-2</v>
      </c>
      <c r="N21" s="23">
        <v>0.18402777777777768</v>
      </c>
      <c r="O21" s="23">
        <v>0.22638888888888881</v>
      </c>
      <c r="P21" s="23"/>
      <c r="Q21" s="40"/>
    </row>
    <row r="22" spans="1:17" x14ac:dyDescent="0.35">
      <c r="A22" s="22" t="s">
        <v>63</v>
      </c>
      <c r="B22" t="s">
        <v>96</v>
      </c>
      <c r="C22" s="28">
        <v>13</v>
      </c>
      <c r="D22" s="23">
        <v>0.3</v>
      </c>
      <c r="E22" s="23">
        <v>5.5555555555555358E-3</v>
      </c>
      <c r="F22" s="23">
        <v>5.5555555555555558E-3</v>
      </c>
      <c r="G22" s="23">
        <v>3.6805555555555557E-2</v>
      </c>
      <c r="H22" s="23">
        <v>0.33680555555555552</v>
      </c>
      <c r="I22" s="23">
        <v>0</v>
      </c>
      <c r="J22" s="23"/>
      <c r="K22" s="23">
        <v>0.3</v>
      </c>
      <c r="L22" s="30">
        <v>3.6805555555555536E-2</v>
      </c>
      <c r="M22" s="30">
        <v>3.6805555555555536E-2</v>
      </c>
      <c r="N22" s="23">
        <v>0.25416666666666654</v>
      </c>
      <c r="O22" s="23">
        <v>0.29097222222222208</v>
      </c>
      <c r="P22" s="23"/>
      <c r="Q22" s="40"/>
    </row>
    <row r="23" spans="1:17" x14ac:dyDescent="0.35">
      <c r="B23" t="s">
        <v>88</v>
      </c>
      <c r="C23" s="28">
        <v>2</v>
      </c>
      <c r="D23" s="23">
        <v>0.30486111111111108</v>
      </c>
      <c r="E23" s="23">
        <v>4.8611111111110938E-3</v>
      </c>
      <c r="F23" s="23">
        <v>5.5555555555555558E-3</v>
      </c>
      <c r="G23" s="23">
        <v>4.2361111111111106E-2</v>
      </c>
      <c r="H23" s="23">
        <v>0.34722222222222221</v>
      </c>
      <c r="I23" s="23">
        <v>6.9444444444444198E-4</v>
      </c>
      <c r="J23" s="23"/>
      <c r="K23" s="23">
        <v>0.30555555555555552</v>
      </c>
      <c r="L23" s="30">
        <v>4.2361111111111127E-2</v>
      </c>
      <c r="M23" s="30">
        <v>8.4722222222222227E-2</v>
      </c>
      <c r="N23" s="23">
        <v>0.18402777777777768</v>
      </c>
      <c r="O23" s="23">
        <v>0.26874999999999993</v>
      </c>
      <c r="P23" s="23"/>
      <c r="Q23" s="40"/>
    </row>
    <row r="24" spans="1:17" x14ac:dyDescent="0.35">
      <c r="A24" s="22"/>
      <c r="B24" t="s">
        <v>96</v>
      </c>
      <c r="C24" s="28">
        <v>6</v>
      </c>
      <c r="D24" s="23">
        <v>0.30486111111111114</v>
      </c>
      <c r="E24" s="23">
        <v>4.8611111111111494E-3</v>
      </c>
      <c r="F24" s="23">
        <v>5.5555555555555558E-3</v>
      </c>
      <c r="G24" s="23">
        <v>3.6805555555555557E-2</v>
      </c>
      <c r="H24" s="23">
        <v>0.34166666666666667</v>
      </c>
      <c r="I24" s="23">
        <v>6.9444444444438647E-4</v>
      </c>
      <c r="J24" s="23"/>
      <c r="K24" s="23">
        <v>0.30555555555555552</v>
      </c>
      <c r="L24" s="30">
        <v>3.6805555555555536E-2</v>
      </c>
      <c r="M24" s="30">
        <v>7.3611111111111099E-2</v>
      </c>
      <c r="N24" s="23">
        <v>0.1694444444444444</v>
      </c>
      <c r="O24" s="23">
        <v>0.2430555555555555</v>
      </c>
      <c r="P24" s="23"/>
      <c r="Q24" s="40"/>
    </row>
    <row r="25" spans="1:17" x14ac:dyDescent="0.35">
      <c r="A25" t="s">
        <v>63</v>
      </c>
      <c r="B25" t="s">
        <v>88</v>
      </c>
      <c r="C25" s="28">
        <v>11</v>
      </c>
      <c r="D25" s="23">
        <v>0.31041666666666667</v>
      </c>
      <c r="E25" s="23">
        <v>5.5555555555555913E-3</v>
      </c>
      <c r="F25" s="23">
        <v>5.5555555555555558E-3</v>
      </c>
      <c r="G25" s="23">
        <v>4.2361111111111106E-2</v>
      </c>
      <c r="H25" s="23">
        <v>0.3527777777777778</v>
      </c>
      <c r="I25" s="23">
        <v>0</v>
      </c>
      <c r="J25" s="23"/>
      <c r="K25" s="23">
        <v>0.31041666666666667</v>
      </c>
      <c r="L25" s="30">
        <v>4.2361111111111127E-2</v>
      </c>
      <c r="M25" s="30">
        <v>4.2361111111111127E-2</v>
      </c>
      <c r="N25" s="23">
        <v>0.22083333333333321</v>
      </c>
      <c r="O25" s="23">
        <v>0.26319444444444434</v>
      </c>
      <c r="P25" s="23"/>
      <c r="Q25" s="40"/>
    </row>
    <row r="26" spans="1:17" x14ac:dyDescent="0.35">
      <c r="A26" s="22" t="s">
        <v>63</v>
      </c>
      <c r="B26" t="s">
        <v>96</v>
      </c>
      <c r="C26" s="28">
        <v>14</v>
      </c>
      <c r="D26" s="23">
        <v>0.31041666666666667</v>
      </c>
      <c r="E26" s="23">
        <v>5.5555555555555358E-3</v>
      </c>
      <c r="F26" s="23">
        <v>5.5555555555555558E-3</v>
      </c>
      <c r="G26" s="23">
        <v>3.6805555555555557E-2</v>
      </c>
      <c r="H26" s="23">
        <v>0.34722222222222221</v>
      </c>
      <c r="I26" s="23">
        <v>0</v>
      </c>
      <c r="J26" s="23"/>
      <c r="K26" s="23">
        <v>0.31041666666666667</v>
      </c>
      <c r="L26" s="30">
        <v>3.6805555555555536E-2</v>
      </c>
      <c r="M26" s="30">
        <v>3.6805555555555536E-2</v>
      </c>
      <c r="N26" s="23">
        <v>0.25416666666666654</v>
      </c>
      <c r="O26" s="23">
        <v>0.29097222222222208</v>
      </c>
      <c r="P26" s="23"/>
      <c r="Q26" s="40"/>
    </row>
    <row r="27" spans="1:17" x14ac:dyDescent="0.35">
      <c r="B27" t="s">
        <v>88</v>
      </c>
      <c r="C27" s="28">
        <v>3</v>
      </c>
      <c r="D27" s="23">
        <v>0.31527777777777777</v>
      </c>
      <c r="E27" s="23">
        <v>4.8611111111110938E-3</v>
      </c>
      <c r="F27" s="23">
        <v>5.5555555555555558E-3</v>
      </c>
      <c r="G27" s="23">
        <v>4.2361111111111106E-2</v>
      </c>
      <c r="H27" s="23">
        <v>0.3576388888888889</v>
      </c>
      <c r="I27" s="23">
        <v>6.9444444444444198E-4</v>
      </c>
      <c r="J27" s="23"/>
      <c r="K27" s="23">
        <v>0.31597222222222221</v>
      </c>
      <c r="L27" s="30">
        <v>4.2361111111111127E-2</v>
      </c>
      <c r="M27" s="30">
        <v>8.4722222222222227E-2</v>
      </c>
      <c r="N27" s="23">
        <v>0.1826388888888888</v>
      </c>
      <c r="O27" s="23">
        <v>0.26736111111111105</v>
      </c>
      <c r="P27" s="23"/>
      <c r="Q27" s="40"/>
    </row>
    <row r="28" spans="1:17" x14ac:dyDescent="0.35">
      <c r="A28" s="22"/>
      <c r="B28" t="s">
        <v>96</v>
      </c>
      <c r="C28" s="28">
        <v>7</v>
      </c>
      <c r="D28" s="23">
        <v>0.31527777777777782</v>
      </c>
      <c r="E28" s="23">
        <v>4.8611111111111494E-3</v>
      </c>
      <c r="F28" s="23">
        <v>5.5555555555555558E-3</v>
      </c>
      <c r="G28" s="23">
        <v>3.6805555555555557E-2</v>
      </c>
      <c r="H28" s="23">
        <v>0.35208333333333336</v>
      </c>
      <c r="I28" s="23">
        <v>6.9444444444438647E-4</v>
      </c>
      <c r="J28" s="23"/>
      <c r="K28" s="23">
        <v>0.31597222222222221</v>
      </c>
      <c r="L28" s="30">
        <v>3.6805555555555536E-2</v>
      </c>
      <c r="M28" s="30">
        <v>7.3611111111111099E-2</v>
      </c>
      <c r="N28" s="23">
        <v>0.25416666666666654</v>
      </c>
      <c r="O28" s="23">
        <v>0.32777777777777761</v>
      </c>
      <c r="P28" s="23"/>
      <c r="Q28" s="40"/>
    </row>
    <row r="29" spans="1:17" x14ac:dyDescent="0.35">
      <c r="A29" t="s">
        <v>63</v>
      </c>
      <c r="B29" t="s">
        <v>88</v>
      </c>
      <c r="C29" s="28">
        <v>12</v>
      </c>
      <c r="D29" s="23">
        <v>0.32083333333333336</v>
      </c>
      <c r="E29" s="23">
        <v>5.5555555555555913E-3</v>
      </c>
      <c r="F29" s="23">
        <v>5.5555555555555558E-3</v>
      </c>
      <c r="G29" s="23">
        <v>4.2361111111111106E-2</v>
      </c>
      <c r="H29" s="23">
        <v>0.36319444444444449</v>
      </c>
      <c r="I29" s="23">
        <v>0</v>
      </c>
      <c r="J29" s="23"/>
      <c r="K29" s="23">
        <v>0.32083333333333336</v>
      </c>
      <c r="L29" s="30">
        <v>4.2361111111111127E-2</v>
      </c>
      <c r="M29" s="30">
        <v>4.2361111111111127E-2</v>
      </c>
      <c r="N29" s="23">
        <v>0.22083333333333321</v>
      </c>
      <c r="O29" s="23">
        <v>0.26319444444444434</v>
      </c>
      <c r="P29" s="23"/>
      <c r="Q29" s="40"/>
    </row>
    <row r="30" spans="1:17" x14ac:dyDescent="0.35">
      <c r="A30" s="22" t="s">
        <v>63</v>
      </c>
      <c r="B30" t="s">
        <v>96</v>
      </c>
      <c r="C30" s="28">
        <v>15</v>
      </c>
      <c r="D30" s="23">
        <v>0.32083333333333336</v>
      </c>
      <c r="E30" s="23">
        <v>5.5555555555555358E-3</v>
      </c>
      <c r="F30" s="23">
        <v>5.5555555555555558E-3</v>
      </c>
      <c r="G30" s="42">
        <v>3.6805555555555557E-2</v>
      </c>
      <c r="H30" s="23">
        <v>0.3576388888888889</v>
      </c>
      <c r="I30" s="23">
        <v>0</v>
      </c>
      <c r="J30" s="23"/>
      <c r="K30" s="23">
        <v>0.32083333333333336</v>
      </c>
      <c r="L30" s="30">
        <v>3.6805555555555536E-2</v>
      </c>
      <c r="M30" s="30">
        <v>3.6805555555555536E-2</v>
      </c>
      <c r="N30" s="23">
        <v>0.1694444444444444</v>
      </c>
      <c r="O30" s="23">
        <v>0.20624999999999993</v>
      </c>
      <c r="P30" s="23"/>
      <c r="Q30" s="40"/>
    </row>
    <row r="31" spans="1:17" x14ac:dyDescent="0.35">
      <c r="B31" t="s">
        <v>88</v>
      </c>
      <c r="C31" s="28">
        <v>4</v>
      </c>
      <c r="D31" s="23">
        <v>0.32569444444444445</v>
      </c>
      <c r="E31" s="23">
        <v>4.8611111111110938E-3</v>
      </c>
      <c r="F31" s="23">
        <v>5.5555555555555558E-3</v>
      </c>
      <c r="G31" s="23">
        <v>4.2361111111111106E-2</v>
      </c>
      <c r="H31" s="23">
        <v>0.36805555555555558</v>
      </c>
      <c r="I31" s="23">
        <v>-4.8611111111111494E-3</v>
      </c>
      <c r="J31" s="23"/>
      <c r="K31" s="23">
        <v>0.3208333333333333</v>
      </c>
      <c r="L31" s="30">
        <v>4.2361111111111127E-2</v>
      </c>
      <c r="M31" s="30">
        <v>8.4722222222222254E-2</v>
      </c>
      <c r="N31" s="23">
        <v>0.14444444444444438</v>
      </c>
      <c r="O31" s="23">
        <v>0.22916666666666663</v>
      </c>
      <c r="P31" s="23"/>
      <c r="Q31" s="40"/>
    </row>
    <row r="32" spans="1:17" x14ac:dyDescent="0.35">
      <c r="A32" s="22"/>
      <c r="B32" t="s">
        <v>96</v>
      </c>
      <c r="C32" s="28">
        <v>8</v>
      </c>
      <c r="D32" s="23">
        <v>0.32569444444444445</v>
      </c>
      <c r="E32" s="23">
        <v>4.8611111111110938E-3</v>
      </c>
      <c r="F32" s="23">
        <v>5.5555555555555558E-3</v>
      </c>
      <c r="G32" s="23">
        <v>3.6805555555555557E-2</v>
      </c>
      <c r="H32" s="23">
        <v>0.36249999999999999</v>
      </c>
      <c r="I32" s="23">
        <v>6.9444444444444198E-4</v>
      </c>
      <c r="J32" s="23"/>
      <c r="K32" s="23">
        <v>0.3263888888888889</v>
      </c>
      <c r="L32" s="30">
        <v>3.6805555555555536E-2</v>
      </c>
      <c r="M32" s="30">
        <v>7.3611111111111072E-2</v>
      </c>
      <c r="N32" s="23">
        <v>0.25416666666666654</v>
      </c>
      <c r="O32" s="23">
        <v>0.32777777777777761</v>
      </c>
      <c r="P32" s="23"/>
      <c r="Q32" s="40"/>
    </row>
    <row r="33" spans="1:17" x14ac:dyDescent="0.35">
      <c r="B33" t="s">
        <v>88</v>
      </c>
      <c r="C33" s="28">
        <v>5</v>
      </c>
      <c r="D33" s="23">
        <v>0.33124999999999999</v>
      </c>
      <c r="E33" s="23">
        <v>5.5555555555555358E-3</v>
      </c>
      <c r="F33" s="23">
        <v>5.5555555555555558E-3</v>
      </c>
      <c r="G33" s="23">
        <v>4.2361111111111106E-2</v>
      </c>
      <c r="H33" s="23">
        <v>0.37361111111111112</v>
      </c>
      <c r="I33" s="23">
        <v>0</v>
      </c>
      <c r="J33" s="23"/>
      <c r="K33" s="23">
        <v>0.33124999999999999</v>
      </c>
      <c r="L33" s="30">
        <v>4.2361111111111127E-2</v>
      </c>
      <c r="M33" s="30">
        <v>8.4722222222222254E-2</v>
      </c>
      <c r="N33" s="23">
        <v>0.18402777777777768</v>
      </c>
      <c r="O33" s="23">
        <v>0.26874999999999993</v>
      </c>
      <c r="P33" s="23"/>
      <c r="Q33" s="40"/>
    </row>
    <row r="34" spans="1:17" x14ac:dyDescent="0.35">
      <c r="A34" s="22"/>
      <c r="B34" t="s">
        <v>96</v>
      </c>
      <c r="C34" s="28">
        <v>9</v>
      </c>
      <c r="D34" s="23">
        <v>0.33125000000000004</v>
      </c>
      <c r="E34" s="23">
        <v>5.5555555555555913E-3</v>
      </c>
      <c r="F34" s="23">
        <v>5.5555555555555558E-3</v>
      </c>
      <c r="G34" s="23">
        <v>3.6805555555555557E-2</v>
      </c>
      <c r="H34" s="23">
        <v>0.36805555555555558</v>
      </c>
      <c r="I34" s="23">
        <v>0</v>
      </c>
      <c r="J34" s="23"/>
      <c r="K34" s="23">
        <v>0.33125000000000004</v>
      </c>
      <c r="L34" s="30">
        <v>3.6805555555555536E-2</v>
      </c>
      <c r="M34" s="30">
        <v>3.6805555555555536E-2</v>
      </c>
      <c r="N34" s="23">
        <v>0.2541666666666666</v>
      </c>
      <c r="O34" s="23">
        <v>0.29097222222222213</v>
      </c>
      <c r="P34" s="23"/>
      <c r="Q34" s="40"/>
    </row>
    <row r="35" spans="1:17" x14ac:dyDescent="0.35">
      <c r="B35" t="s">
        <v>88</v>
      </c>
      <c r="C35" s="28">
        <v>13</v>
      </c>
      <c r="D35" s="23">
        <v>0.33680555555555552</v>
      </c>
      <c r="E35" s="23">
        <v>5.5555555555555358E-3</v>
      </c>
      <c r="F35" s="23">
        <v>5.5555555555555558E-3</v>
      </c>
      <c r="G35" s="23">
        <v>4.2361111111111106E-2</v>
      </c>
      <c r="H35" s="23">
        <v>0.37916666666666665</v>
      </c>
      <c r="I35" s="23">
        <v>0</v>
      </c>
      <c r="J35" s="23"/>
      <c r="K35" s="23">
        <v>0.33680555555555552</v>
      </c>
      <c r="L35" s="30">
        <v>4.2361111111111127E-2</v>
      </c>
      <c r="M35" s="30">
        <v>4.2361111111111127E-2</v>
      </c>
      <c r="N35" s="23">
        <v>0.22083333333333321</v>
      </c>
      <c r="O35" s="23">
        <v>0.26319444444444434</v>
      </c>
      <c r="P35" s="23"/>
      <c r="Q35" s="40"/>
    </row>
    <row r="36" spans="1:17" x14ac:dyDescent="0.35">
      <c r="A36" s="22"/>
      <c r="B36" t="s">
        <v>96</v>
      </c>
      <c r="C36" s="28">
        <v>1</v>
      </c>
      <c r="D36" s="23">
        <v>0.33680555555555558</v>
      </c>
      <c r="E36" s="23">
        <v>5.5555555555555358E-3</v>
      </c>
      <c r="F36" s="23">
        <v>5.5555555555555558E-3</v>
      </c>
      <c r="G36" s="23">
        <v>3.6805555555555557E-2</v>
      </c>
      <c r="H36" s="23">
        <v>0.37361111111111112</v>
      </c>
      <c r="I36" s="23">
        <v>0</v>
      </c>
      <c r="J36" s="23"/>
      <c r="K36" s="23">
        <v>0.33680555555555558</v>
      </c>
      <c r="L36" s="30">
        <v>3.6805555555555536E-2</v>
      </c>
      <c r="M36" s="30">
        <v>7.3611111111111072E-2</v>
      </c>
      <c r="N36" s="23">
        <v>0.2541666666666666</v>
      </c>
      <c r="O36" s="23">
        <v>0.32777777777777767</v>
      </c>
      <c r="P36" s="23"/>
      <c r="Q36" s="40"/>
    </row>
    <row r="37" spans="1:17" x14ac:dyDescent="0.35">
      <c r="B37" t="s">
        <v>88</v>
      </c>
      <c r="C37" s="28">
        <v>6</v>
      </c>
      <c r="D37" s="23">
        <v>0.34166666666666667</v>
      </c>
      <c r="E37" s="23">
        <v>4.8611111111111494E-3</v>
      </c>
      <c r="F37" s="23">
        <v>5.5555555555555558E-3</v>
      </c>
      <c r="G37" s="23">
        <v>4.2361111111111106E-2</v>
      </c>
      <c r="H37" s="23">
        <v>0.3840277777777778</v>
      </c>
      <c r="I37" s="23">
        <v>6.9444444444438647E-4</v>
      </c>
      <c r="J37" s="23"/>
      <c r="K37" s="23">
        <v>0.34236111111111106</v>
      </c>
      <c r="L37" s="30">
        <v>4.2361111111111127E-2</v>
      </c>
      <c r="M37" s="30">
        <v>8.4722222222222254E-2</v>
      </c>
      <c r="N37" s="23">
        <v>0.18402777777777771</v>
      </c>
      <c r="O37" s="23">
        <v>0.26874999999999993</v>
      </c>
      <c r="P37" s="23"/>
      <c r="Q37" s="40"/>
    </row>
    <row r="38" spans="1:17" x14ac:dyDescent="0.35">
      <c r="A38" s="22"/>
      <c r="B38" t="s">
        <v>96</v>
      </c>
      <c r="C38" s="28">
        <v>10</v>
      </c>
      <c r="D38" s="23">
        <v>0.34236111111111112</v>
      </c>
      <c r="E38" s="23">
        <v>5.5555555555555358E-3</v>
      </c>
      <c r="F38" s="23">
        <v>5.5555555555555558E-3</v>
      </c>
      <c r="G38" s="23">
        <v>3.6805555555555557E-2</v>
      </c>
      <c r="H38" s="23">
        <v>0.37916666666666665</v>
      </c>
      <c r="I38" s="23">
        <v>0</v>
      </c>
      <c r="J38" s="23"/>
      <c r="K38" s="23">
        <v>0.34236111111111112</v>
      </c>
      <c r="L38" s="30">
        <v>3.6805555555555536E-2</v>
      </c>
      <c r="M38" s="30">
        <v>3.6805555555555536E-2</v>
      </c>
      <c r="N38" s="23">
        <v>0.2541666666666666</v>
      </c>
      <c r="O38" s="23">
        <v>0.29097222222222213</v>
      </c>
      <c r="P38" s="23"/>
      <c r="Q38" s="40"/>
    </row>
    <row r="39" spans="1:17" x14ac:dyDescent="0.35">
      <c r="B39" t="s">
        <v>88</v>
      </c>
      <c r="C39" s="28">
        <v>14</v>
      </c>
      <c r="D39" s="23">
        <v>0.34722222222222221</v>
      </c>
      <c r="E39" s="23">
        <v>5.5555555555555358E-3</v>
      </c>
      <c r="F39" s="23">
        <v>5.5555555555555558E-3</v>
      </c>
      <c r="G39" s="23">
        <v>4.2361111111111106E-2</v>
      </c>
      <c r="H39" s="23">
        <v>0.38958333333333334</v>
      </c>
      <c r="I39" s="23">
        <v>0</v>
      </c>
      <c r="J39" s="23"/>
      <c r="K39" s="23">
        <v>0.34722222222222221</v>
      </c>
      <c r="L39" s="30">
        <v>4.2361111111111127E-2</v>
      </c>
      <c r="M39" s="30">
        <v>4.2361111111111127E-2</v>
      </c>
      <c r="N39" s="23">
        <v>0.22083333333333327</v>
      </c>
      <c r="O39" s="23">
        <v>0.2631944444444444</v>
      </c>
      <c r="P39" s="23"/>
      <c r="Q39" s="40"/>
    </row>
    <row r="40" spans="1:17" x14ac:dyDescent="0.35">
      <c r="A40" s="22"/>
      <c r="B40" t="s">
        <v>96</v>
      </c>
      <c r="C40" s="28">
        <v>2</v>
      </c>
      <c r="D40" s="23">
        <v>0.34722222222222221</v>
      </c>
      <c r="E40" s="23">
        <v>4.8611111111110938E-3</v>
      </c>
      <c r="F40" s="23">
        <v>5.5555555555555558E-3</v>
      </c>
      <c r="G40" s="23">
        <v>3.6805555555555557E-2</v>
      </c>
      <c r="H40" s="23">
        <v>0.38402777777777775</v>
      </c>
      <c r="I40" s="23">
        <v>6.9444444444444198E-4</v>
      </c>
      <c r="J40" s="23"/>
      <c r="K40" s="23">
        <v>0.34791666666666665</v>
      </c>
      <c r="L40" s="30">
        <v>3.6805555555555536E-2</v>
      </c>
      <c r="M40" s="30">
        <v>7.3611111111111072E-2</v>
      </c>
      <c r="N40" s="23">
        <v>0.25416666666666654</v>
      </c>
      <c r="O40" s="23">
        <v>0.32777777777777761</v>
      </c>
      <c r="P40" s="23"/>
      <c r="Q40" s="40"/>
    </row>
    <row r="41" spans="1:17" x14ac:dyDescent="0.35">
      <c r="A41" t="s">
        <v>70</v>
      </c>
      <c r="B41" t="s">
        <v>88</v>
      </c>
      <c r="C41" s="28">
        <v>7</v>
      </c>
      <c r="D41" s="23">
        <v>0.35208333333333336</v>
      </c>
      <c r="E41" s="23">
        <v>4.8611111111111494E-3</v>
      </c>
      <c r="F41" s="23">
        <v>5.5555555555555558E-3</v>
      </c>
      <c r="G41" s="23">
        <v>4.2361111111111106E-2</v>
      </c>
      <c r="H41" s="23">
        <v>0.39444444444444449</v>
      </c>
      <c r="I41" s="23">
        <v>6.9444444444438647E-4</v>
      </c>
      <c r="J41" s="23"/>
      <c r="K41" s="23">
        <v>0.35277777777777775</v>
      </c>
      <c r="L41" s="30">
        <v>4.2361111111111127E-2</v>
      </c>
      <c r="M41" s="30">
        <v>8.4722222222222254E-2</v>
      </c>
      <c r="N41" s="23">
        <v>0.22083333333333324</v>
      </c>
      <c r="O41" s="23">
        <v>0.30555555555555547</v>
      </c>
      <c r="P41" s="23"/>
      <c r="Q41" s="40"/>
    </row>
    <row r="42" spans="1:17" x14ac:dyDescent="0.35">
      <c r="A42" s="22"/>
      <c r="B42" t="s">
        <v>96</v>
      </c>
      <c r="C42" s="28">
        <v>11</v>
      </c>
      <c r="D42" s="23">
        <v>0.3527777777777778</v>
      </c>
      <c r="E42" s="23">
        <v>5.5555555555555913E-3</v>
      </c>
      <c r="F42" s="23">
        <v>5.5555555555555558E-3</v>
      </c>
      <c r="G42" s="23">
        <v>3.6805555555555557E-2</v>
      </c>
      <c r="H42" s="23">
        <v>0.38958333333333334</v>
      </c>
      <c r="I42" s="23">
        <v>0</v>
      </c>
      <c r="J42" s="23"/>
      <c r="K42" s="23">
        <v>0.3527777777777778</v>
      </c>
      <c r="L42" s="30">
        <v>3.6805555555555536E-2</v>
      </c>
      <c r="M42" s="30">
        <v>3.6805555555555536E-2</v>
      </c>
      <c r="N42" s="23">
        <v>0.25416666666666654</v>
      </c>
      <c r="O42" s="23">
        <v>0.29097222222222208</v>
      </c>
      <c r="P42" s="23"/>
      <c r="Q42"/>
    </row>
    <row r="43" spans="1:17" x14ac:dyDescent="0.35">
      <c r="B43" t="s">
        <v>88</v>
      </c>
      <c r="C43" s="28">
        <v>15</v>
      </c>
      <c r="D43" s="23">
        <v>0.3576388888888889</v>
      </c>
      <c r="E43" s="23">
        <v>5.5555555555555358E-3</v>
      </c>
      <c r="F43" s="23">
        <v>5.5555555555555558E-3</v>
      </c>
      <c r="G43" s="23">
        <v>4.2361111111111106E-2</v>
      </c>
      <c r="H43" s="23">
        <v>0.4</v>
      </c>
      <c r="I43" s="23">
        <v>0</v>
      </c>
      <c r="J43" s="23"/>
      <c r="K43" s="23">
        <v>0.3576388888888889</v>
      </c>
      <c r="L43" s="30">
        <v>4.2361111111111127E-2</v>
      </c>
      <c r="M43" s="30">
        <v>4.2361111111111127E-2</v>
      </c>
      <c r="N43" s="23">
        <v>0.1472222222222222</v>
      </c>
      <c r="O43" s="23">
        <v>0.18958333333333333</v>
      </c>
      <c r="P43" s="23"/>
      <c r="Q43"/>
    </row>
    <row r="44" spans="1:17" x14ac:dyDescent="0.35">
      <c r="A44" s="22"/>
      <c r="B44" t="s">
        <v>96</v>
      </c>
      <c r="C44" s="28">
        <v>3</v>
      </c>
      <c r="D44" s="23">
        <v>0.3576388888888889</v>
      </c>
      <c r="E44" s="23">
        <v>4.8611111111110938E-3</v>
      </c>
      <c r="F44" s="23">
        <v>5.5555555555555558E-3</v>
      </c>
      <c r="G44" s="23">
        <v>3.6805555555555557E-2</v>
      </c>
      <c r="H44" s="23">
        <v>0.39444444444444443</v>
      </c>
      <c r="I44" s="23">
        <v>6.9444444444444198E-4</v>
      </c>
      <c r="J44" s="23"/>
      <c r="K44" s="23">
        <v>0.35833333333333334</v>
      </c>
      <c r="L44" s="30">
        <v>3.6805555555555536E-2</v>
      </c>
      <c r="M44" s="30">
        <v>7.3611111111111072E-2</v>
      </c>
      <c r="N44" s="23">
        <v>0.25416666666666654</v>
      </c>
      <c r="O44" s="23">
        <v>0.32777777777777761</v>
      </c>
      <c r="P44" s="23"/>
      <c r="Q44"/>
    </row>
    <row r="45" spans="1:17" x14ac:dyDescent="0.35">
      <c r="A45" t="s">
        <v>70</v>
      </c>
      <c r="B45" t="s">
        <v>88</v>
      </c>
      <c r="C45" s="28">
        <v>8</v>
      </c>
      <c r="D45" s="23">
        <v>0.36249999999999999</v>
      </c>
      <c r="E45" s="23">
        <v>4.8611111111110938E-3</v>
      </c>
      <c r="F45" s="23">
        <v>5.5555555555555558E-3</v>
      </c>
      <c r="G45" s="23">
        <v>4.2361111111111106E-2</v>
      </c>
      <c r="H45" s="23">
        <v>0.40486111111111112</v>
      </c>
      <c r="I45" s="23">
        <v>6.9444444444444198E-4</v>
      </c>
      <c r="J45" s="23"/>
      <c r="K45" s="23">
        <v>0.36319444444444443</v>
      </c>
      <c r="L45" s="30">
        <v>4.2361111111111127E-2</v>
      </c>
      <c r="M45" s="30">
        <v>8.4722222222222254E-2</v>
      </c>
      <c r="N45" s="23">
        <v>0.22083333333333321</v>
      </c>
      <c r="O45" s="23">
        <v>0.30555555555555547</v>
      </c>
      <c r="P45" s="23"/>
      <c r="Q45"/>
    </row>
    <row r="46" spans="1:17" x14ac:dyDescent="0.35">
      <c r="A46" s="22"/>
      <c r="B46" t="s">
        <v>96</v>
      </c>
      <c r="C46" s="28">
        <v>12</v>
      </c>
      <c r="D46" s="23">
        <v>0.36319444444444449</v>
      </c>
      <c r="E46" s="23">
        <v>5.5555555555555913E-3</v>
      </c>
      <c r="F46" s="23">
        <v>5.5555555555555558E-3</v>
      </c>
      <c r="G46" s="23">
        <v>3.6805555555555557E-2</v>
      </c>
      <c r="H46" s="23">
        <v>0.4</v>
      </c>
      <c r="I46" s="23">
        <v>0</v>
      </c>
      <c r="J46" s="23"/>
      <c r="K46" s="23">
        <v>0.36319444444444449</v>
      </c>
      <c r="L46" s="30">
        <v>3.6805555555555536E-2</v>
      </c>
      <c r="M46" s="30">
        <v>3.6805555555555536E-2</v>
      </c>
      <c r="N46" s="23">
        <v>0.2541666666666666</v>
      </c>
      <c r="O46" s="23">
        <v>0.29097222222222213</v>
      </c>
      <c r="P46" s="23"/>
      <c r="Q46"/>
    </row>
    <row r="47" spans="1:17" x14ac:dyDescent="0.35">
      <c r="B47" t="s">
        <v>88</v>
      </c>
      <c r="C47" s="28">
        <v>9</v>
      </c>
      <c r="D47" s="23">
        <v>0.36805555555555558</v>
      </c>
      <c r="E47" s="23">
        <v>5.5555555555555913E-3</v>
      </c>
      <c r="F47" s="23">
        <v>5.5555555555555558E-3</v>
      </c>
      <c r="G47" s="23">
        <v>4.2361111111111106E-2</v>
      </c>
      <c r="H47" s="23">
        <v>0.41041666666666671</v>
      </c>
      <c r="I47" s="23">
        <v>0</v>
      </c>
      <c r="J47" s="23"/>
      <c r="K47" s="23">
        <v>0.36805555555555558</v>
      </c>
      <c r="L47" s="30">
        <v>4.2361111111111127E-2</v>
      </c>
      <c r="M47" s="30">
        <v>8.4722222222222254E-2</v>
      </c>
      <c r="N47" s="23">
        <v>0.18402777777777768</v>
      </c>
      <c r="O47" s="23">
        <v>0.26874999999999993</v>
      </c>
      <c r="P47" s="23"/>
      <c r="Q47"/>
    </row>
    <row r="48" spans="1:17" x14ac:dyDescent="0.35">
      <c r="A48" s="22"/>
      <c r="B48" t="s">
        <v>96</v>
      </c>
      <c r="C48" s="28">
        <v>4</v>
      </c>
      <c r="D48" s="23">
        <v>0.36805555555555558</v>
      </c>
      <c r="E48" s="23">
        <v>4.8611111111110938E-3</v>
      </c>
      <c r="F48" s="23">
        <v>5.5555555555555558E-3</v>
      </c>
      <c r="G48" s="42">
        <v>3.6805555555555557E-2</v>
      </c>
      <c r="H48" s="23">
        <v>0.40486111111111112</v>
      </c>
      <c r="I48" s="23">
        <v>6.9444444444444198E-4</v>
      </c>
      <c r="J48" s="23"/>
      <c r="K48" s="23">
        <v>0.36875000000000002</v>
      </c>
      <c r="L48" s="30">
        <v>3.6805555555555536E-2</v>
      </c>
      <c r="M48" s="30">
        <v>7.3611111111111072E-2</v>
      </c>
      <c r="N48" s="23">
        <v>0.21180555555555552</v>
      </c>
      <c r="O48" s="23">
        <v>0.2854166666666666</v>
      </c>
      <c r="P48" s="23"/>
      <c r="Q48"/>
    </row>
    <row r="49" spans="1:17" x14ac:dyDescent="0.35">
      <c r="A49" t="s">
        <v>70</v>
      </c>
      <c r="B49" t="s">
        <v>88</v>
      </c>
      <c r="C49" s="28">
        <v>1</v>
      </c>
      <c r="D49" s="23">
        <v>0.37361111111111112</v>
      </c>
      <c r="E49" s="23">
        <v>5.5555555555555358E-3</v>
      </c>
      <c r="F49" s="23">
        <v>5.5555555555555558E-3</v>
      </c>
      <c r="G49" s="23">
        <v>4.2361111111111106E-2</v>
      </c>
      <c r="H49" s="23">
        <v>0.41597222222222224</v>
      </c>
      <c r="I49" s="23">
        <v>0</v>
      </c>
      <c r="J49" s="23"/>
      <c r="K49" s="23">
        <v>0.37361111111111112</v>
      </c>
      <c r="L49" s="30">
        <v>4.2361111111111127E-2</v>
      </c>
      <c r="M49" s="30">
        <v>0.12708333333333338</v>
      </c>
      <c r="N49" s="23">
        <v>0.18402777777777768</v>
      </c>
      <c r="O49" s="23">
        <v>0.31111111111111106</v>
      </c>
      <c r="P49" s="23"/>
      <c r="Q49" s="40"/>
    </row>
    <row r="50" spans="1:17" x14ac:dyDescent="0.35">
      <c r="A50" s="22" t="s">
        <v>70</v>
      </c>
      <c r="B50" t="s">
        <v>96</v>
      </c>
      <c r="C50" s="28">
        <v>5</v>
      </c>
      <c r="D50" s="23">
        <v>0.37361111111111112</v>
      </c>
      <c r="E50" s="23">
        <v>5.5555555555555358E-3</v>
      </c>
      <c r="F50" s="23">
        <v>5.5555555555555558E-3</v>
      </c>
      <c r="G50" s="23">
        <v>3.6805555555555557E-2</v>
      </c>
      <c r="H50" s="23">
        <v>0.41041666666666665</v>
      </c>
      <c r="I50" s="23">
        <v>0</v>
      </c>
      <c r="J50" s="23"/>
      <c r="K50" s="23">
        <v>0.37361111111111112</v>
      </c>
      <c r="L50" s="30">
        <v>3.6805555555555536E-2</v>
      </c>
      <c r="M50" s="30">
        <v>0.11041666666666661</v>
      </c>
      <c r="N50" s="23">
        <v>0.1694444444444444</v>
      </c>
      <c r="O50" s="23">
        <v>0.27986111111111101</v>
      </c>
      <c r="P50" s="23"/>
      <c r="Q50"/>
    </row>
    <row r="51" spans="1:17" x14ac:dyDescent="0.35">
      <c r="B51" t="s">
        <v>88</v>
      </c>
      <c r="C51" s="28">
        <v>10</v>
      </c>
      <c r="D51" s="23">
        <v>0.37916666666666665</v>
      </c>
      <c r="E51" s="23">
        <v>5.5555555555555358E-3</v>
      </c>
      <c r="F51" s="23">
        <v>5.5555555555555558E-3</v>
      </c>
      <c r="G51" s="23">
        <v>4.2361111111111106E-2</v>
      </c>
      <c r="H51" s="23">
        <v>0.42152777777777778</v>
      </c>
      <c r="I51" s="23">
        <v>0</v>
      </c>
      <c r="J51" s="23"/>
      <c r="K51" s="23">
        <v>0.37916666666666665</v>
      </c>
      <c r="L51" s="30">
        <v>4.2361111111111127E-2</v>
      </c>
      <c r="M51" s="30">
        <v>8.4722222222222254E-2</v>
      </c>
      <c r="N51" s="23">
        <v>0.18402777777777768</v>
      </c>
      <c r="O51" s="23">
        <v>0.26874999999999993</v>
      </c>
      <c r="P51" s="23"/>
      <c r="Q51"/>
    </row>
    <row r="52" spans="1:17" x14ac:dyDescent="0.35">
      <c r="A52" s="22"/>
      <c r="B52" t="s">
        <v>96</v>
      </c>
      <c r="C52" s="28">
        <v>13</v>
      </c>
      <c r="D52" s="23">
        <v>0.37916666666666665</v>
      </c>
      <c r="E52" s="23">
        <v>5.5555555555555358E-3</v>
      </c>
      <c r="F52" s="23">
        <v>5.5555555555555558E-3</v>
      </c>
      <c r="G52" s="23">
        <v>3.6805555555555557E-2</v>
      </c>
      <c r="H52" s="23">
        <v>0.41597222222222219</v>
      </c>
      <c r="I52" s="23">
        <v>0</v>
      </c>
      <c r="J52" s="23"/>
      <c r="K52" s="23">
        <v>0.37916666666666665</v>
      </c>
      <c r="L52" s="30">
        <v>3.6805555555555536E-2</v>
      </c>
      <c r="M52" s="30">
        <v>7.3611111111111072E-2</v>
      </c>
      <c r="N52" s="23">
        <v>0.25416666666666654</v>
      </c>
      <c r="O52" s="23">
        <v>0.32777777777777761</v>
      </c>
      <c r="P52" s="23"/>
      <c r="Q52"/>
    </row>
    <row r="53" spans="1:17" x14ac:dyDescent="0.35">
      <c r="A53" t="s">
        <v>70</v>
      </c>
      <c r="B53" t="s">
        <v>88</v>
      </c>
      <c r="C53" s="28">
        <v>2</v>
      </c>
      <c r="D53" s="23">
        <v>0.38402777777777775</v>
      </c>
      <c r="E53" s="23">
        <v>4.8611111111110938E-3</v>
      </c>
      <c r="F53" s="23">
        <v>5.5555555555555558E-3</v>
      </c>
      <c r="G53" s="23">
        <v>4.2361111111111106E-2</v>
      </c>
      <c r="H53" s="23">
        <v>0.42638888888888887</v>
      </c>
      <c r="I53" s="23">
        <v>6.9444444444444198E-4</v>
      </c>
      <c r="J53" s="23"/>
      <c r="K53" s="23">
        <v>0.38472222222222219</v>
      </c>
      <c r="L53" s="30">
        <v>4.2361111111111127E-2</v>
      </c>
      <c r="M53" s="30">
        <v>0.12708333333333335</v>
      </c>
      <c r="N53" s="23">
        <v>0.18402777777777768</v>
      </c>
      <c r="O53" s="23">
        <v>0.31111111111111101</v>
      </c>
      <c r="P53" s="23"/>
      <c r="Q53"/>
    </row>
    <row r="54" spans="1:17" x14ac:dyDescent="0.35">
      <c r="A54" s="22" t="s">
        <v>70</v>
      </c>
      <c r="B54" t="s">
        <v>96</v>
      </c>
      <c r="C54" s="28">
        <v>6</v>
      </c>
      <c r="D54" s="23">
        <v>0.3840277777777778</v>
      </c>
      <c r="E54" s="23">
        <v>4.8611111111111494E-3</v>
      </c>
      <c r="F54" s="23">
        <v>5.5555555555555558E-3</v>
      </c>
      <c r="G54" s="23">
        <v>3.6805555555555557E-2</v>
      </c>
      <c r="H54" s="23">
        <v>0.42083333333333334</v>
      </c>
      <c r="I54" s="23">
        <v>6.9444444444438647E-4</v>
      </c>
      <c r="J54" s="23"/>
      <c r="K54" s="23">
        <v>0.38472222222222219</v>
      </c>
      <c r="L54" s="30">
        <v>3.6805555555555536E-2</v>
      </c>
      <c r="M54" s="30">
        <v>0.11041666666666664</v>
      </c>
      <c r="N54" s="23">
        <v>0.1694444444444444</v>
      </c>
      <c r="O54" s="23">
        <v>0.27986111111111101</v>
      </c>
      <c r="P54" s="23"/>
      <c r="Q54"/>
    </row>
    <row r="55" spans="1:17" x14ac:dyDescent="0.35">
      <c r="B55" t="s">
        <v>88</v>
      </c>
      <c r="C55" s="28">
        <v>11</v>
      </c>
      <c r="D55" s="23">
        <v>0.38958333333333334</v>
      </c>
      <c r="E55" s="23">
        <v>5.5555555555555913E-3</v>
      </c>
      <c r="F55" s="23">
        <v>5.5555555555555558E-3</v>
      </c>
      <c r="G55" s="23">
        <v>4.2361111111111106E-2</v>
      </c>
      <c r="H55" s="23">
        <v>0.43194444444444446</v>
      </c>
      <c r="I55" s="23">
        <v>0</v>
      </c>
      <c r="J55" s="23"/>
      <c r="K55" s="23">
        <v>0.38958333333333334</v>
      </c>
      <c r="L55" s="30">
        <v>4.2361111111111127E-2</v>
      </c>
      <c r="M55" s="30">
        <v>8.4722222222222254E-2</v>
      </c>
      <c r="N55" s="23">
        <v>0.22083333333333321</v>
      </c>
      <c r="O55" s="23">
        <v>0.30555555555555547</v>
      </c>
      <c r="P55" s="23"/>
      <c r="Q55"/>
    </row>
    <row r="56" spans="1:17" x14ac:dyDescent="0.35">
      <c r="A56" s="22"/>
      <c r="B56" t="s">
        <v>96</v>
      </c>
      <c r="C56" s="28">
        <v>14</v>
      </c>
      <c r="D56" s="23">
        <v>0.38958333333333334</v>
      </c>
      <c r="E56" s="23">
        <v>5.5555555555555358E-3</v>
      </c>
      <c r="F56" s="23">
        <v>5.5555555555555558E-3</v>
      </c>
      <c r="G56" s="23">
        <v>3.6805555555555557E-2</v>
      </c>
      <c r="H56" s="23">
        <v>0.42638888888888887</v>
      </c>
      <c r="I56" s="23">
        <v>0</v>
      </c>
      <c r="J56" s="23"/>
      <c r="K56" s="23">
        <v>0.38958333333333334</v>
      </c>
      <c r="L56" s="30">
        <v>3.6805555555555536E-2</v>
      </c>
      <c r="M56" s="30">
        <v>7.3611111111111072E-2</v>
      </c>
      <c r="N56" s="23">
        <v>0.25416666666666654</v>
      </c>
      <c r="O56" s="23">
        <v>0.32777777777777761</v>
      </c>
      <c r="P56" s="23"/>
      <c r="Q56"/>
    </row>
    <row r="57" spans="1:17" x14ac:dyDescent="0.35">
      <c r="A57" t="s">
        <v>70</v>
      </c>
      <c r="B57" t="s">
        <v>88</v>
      </c>
      <c r="C57" s="28">
        <v>3</v>
      </c>
      <c r="D57" s="23">
        <v>0.39444444444444443</v>
      </c>
      <c r="E57" s="23">
        <v>4.8611111111110938E-3</v>
      </c>
      <c r="F57" s="23">
        <v>5.5555555555555558E-3</v>
      </c>
      <c r="G57" s="23">
        <v>4.2361111111111106E-2</v>
      </c>
      <c r="H57" s="23">
        <v>0.43680555555555556</v>
      </c>
      <c r="I57" s="23">
        <v>6.9444444444444198E-4</v>
      </c>
      <c r="J57" s="23"/>
      <c r="K57" s="23">
        <v>0.39513888888888887</v>
      </c>
      <c r="L57" s="30">
        <v>4.2361111111111127E-2</v>
      </c>
      <c r="M57" s="30">
        <v>0.12708333333333335</v>
      </c>
      <c r="N57" s="23">
        <v>0.1826388888888888</v>
      </c>
      <c r="O57" s="23">
        <v>0.30972222222222212</v>
      </c>
      <c r="P57" s="23"/>
      <c r="Q57"/>
    </row>
    <row r="58" spans="1:17" x14ac:dyDescent="0.35">
      <c r="B58" t="s">
        <v>88</v>
      </c>
      <c r="C58" s="28">
        <v>12</v>
      </c>
      <c r="D58" s="23">
        <v>0.4</v>
      </c>
      <c r="E58" s="23">
        <v>5.5555555555555913E-3</v>
      </c>
      <c r="F58" s="23">
        <v>1.0416666666666666E-2</v>
      </c>
      <c r="G58" s="23">
        <v>4.2361111111111106E-2</v>
      </c>
      <c r="H58" s="23">
        <v>0.44236111111111115</v>
      </c>
      <c r="I58" s="23">
        <v>4.8611111111110938E-3</v>
      </c>
      <c r="J58" s="23"/>
      <c r="K58" s="23">
        <v>0.40486111111111112</v>
      </c>
      <c r="L58" s="30">
        <v>4.2361111111111127E-2</v>
      </c>
      <c r="M58" s="30">
        <v>8.4722222222222254E-2</v>
      </c>
      <c r="N58" s="23">
        <v>0.22083333333333321</v>
      </c>
      <c r="O58" s="23">
        <v>0.30555555555555547</v>
      </c>
      <c r="P58" s="23"/>
      <c r="Q58"/>
    </row>
    <row r="59" spans="1:17" x14ac:dyDescent="0.35">
      <c r="A59" s="22"/>
      <c r="B59" t="s">
        <v>96</v>
      </c>
      <c r="C59" s="28">
        <v>15</v>
      </c>
      <c r="D59" s="23">
        <v>0.4</v>
      </c>
      <c r="E59" s="23">
        <v>1.0416666666666685E-2</v>
      </c>
      <c r="F59" s="23">
        <v>1.0416666666666666E-2</v>
      </c>
      <c r="G59" s="23">
        <v>3.6805555555555557E-2</v>
      </c>
      <c r="H59" s="23">
        <v>0.43680555555555556</v>
      </c>
      <c r="I59" s="23">
        <v>0</v>
      </c>
      <c r="J59" s="23"/>
      <c r="K59" s="23">
        <v>0.4</v>
      </c>
      <c r="L59" s="30">
        <v>3.6805555555555536E-2</v>
      </c>
      <c r="M59" s="30">
        <v>7.3611111111111072E-2</v>
      </c>
      <c r="N59" s="23">
        <v>0.1694444444444444</v>
      </c>
      <c r="O59" s="23">
        <v>0.24305555555555547</v>
      </c>
      <c r="P59" s="23"/>
      <c r="Q59"/>
    </row>
    <row r="60" spans="1:17" x14ac:dyDescent="0.35">
      <c r="A60" t="s">
        <v>70</v>
      </c>
      <c r="B60" t="s">
        <v>88</v>
      </c>
      <c r="C60" s="28">
        <v>4</v>
      </c>
      <c r="D60" s="23">
        <v>0.40486111111111112</v>
      </c>
      <c r="E60" s="23">
        <v>4.8611111111110938E-3</v>
      </c>
      <c r="F60" s="23">
        <v>1.0416666666666666E-2</v>
      </c>
      <c r="G60" s="23">
        <v>4.2361111111111106E-2</v>
      </c>
      <c r="H60" s="23">
        <v>0.44722222222222224</v>
      </c>
      <c r="I60" s="23">
        <v>5.5555555555555913E-3</v>
      </c>
      <c r="J60" s="23"/>
      <c r="K60" s="23">
        <v>0.41041666666666671</v>
      </c>
      <c r="L60" s="30">
        <v>4.2361111111111127E-2</v>
      </c>
      <c r="M60" s="30">
        <v>0.12708333333333338</v>
      </c>
      <c r="N60" s="23">
        <v>0.14444444444444438</v>
      </c>
      <c r="O60" s="23">
        <v>0.27152777777777776</v>
      </c>
      <c r="P60" s="23"/>
      <c r="Q60"/>
    </row>
    <row r="61" spans="1:17" x14ac:dyDescent="0.35">
      <c r="A61" s="22"/>
      <c r="B61" t="s">
        <v>96</v>
      </c>
      <c r="C61" s="28">
        <v>9</v>
      </c>
      <c r="D61" s="23">
        <v>0.41041666666666671</v>
      </c>
      <c r="E61" s="23">
        <v>1.0416666666666685E-2</v>
      </c>
      <c r="F61" s="23">
        <v>1.0416666666666666E-2</v>
      </c>
      <c r="G61" s="23">
        <v>3.6805555555555557E-2</v>
      </c>
      <c r="H61" s="23">
        <v>0.44722222222222224</v>
      </c>
      <c r="I61" s="23">
        <v>0</v>
      </c>
      <c r="J61" s="23"/>
      <c r="K61" s="23">
        <v>0.41041666666666671</v>
      </c>
      <c r="L61" s="30">
        <v>3.6805555555555536E-2</v>
      </c>
      <c r="M61" s="30">
        <v>7.3611111111111072E-2</v>
      </c>
      <c r="N61" s="23">
        <v>0.2541666666666666</v>
      </c>
      <c r="O61" s="23">
        <v>0.32777777777777767</v>
      </c>
      <c r="P61" s="23"/>
      <c r="Q61"/>
    </row>
    <row r="62" spans="1:17" x14ac:dyDescent="0.35">
      <c r="B62" t="s">
        <v>88</v>
      </c>
      <c r="C62" s="28">
        <v>13</v>
      </c>
      <c r="D62" s="23">
        <v>0.41597222222222219</v>
      </c>
      <c r="E62" s="23">
        <v>1.1111111111111072E-2</v>
      </c>
      <c r="F62" s="23">
        <v>1.0416666666666666E-2</v>
      </c>
      <c r="G62" s="23">
        <v>4.2361111111111106E-2</v>
      </c>
      <c r="H62" s="23">
        <v>0.45833333333333331</v>
      </c>
      <c r="I62" s="23">
        <v>-6.9444444444438647E-4</v>
      </c>
      <c r="J62" s="23"/>
      <c r="K62" s="23">
        <v>0.4152777777777778</v>
      </c>
      <c r="L62" s="30">
        <v>4.2361111111111127E-2</v>
      </c>
      <c r="M62" s="30">
        <v>8.4722222222222254E-2</v>
      </c>
      <c r="N62" s="23">
        <v>0.22083333333333321</v>
      </c>
      <c r="O62" s="23">
        <v>0.30555555555555547</v>
      </c>
      <c r="P62" s="23"/>
      <c r="Q62"/>
    </row>
    <row r="63" spans="1:17" x14ac:dyDescent="0.35">
      <c r="A63" s="22"/>
      <c r="B63" t="s">
        <v>96</v>
      </c>
      <c r="C63" s="28">
        <v>10</v>
      </c>
      <c r="D63" s="23">
        <v>0.42152777777777778</v>
      </c>
      <c r="E63" s="23">
        <v>1.1111111111111072E-2</v>
      </c>
      <c r="F63" s="23">
        <v>1.0416666666666666E-2</v>
      </c>
      <c r="G63" s="23">
        <v>3.6805555555555557E-2</v>
      </c>
      <c r="H63" s="23">
        <v>0.45833333333333331</v>
      </c>
      <c r="I63" s="23">
        <v>-6.9444444444438647E-4</v>
      </c>
      <c r="J63" s="23"/>
      <c r="K63" s="23">
        <v>0.42083333333333339</v>
      </c>
      <c r="L63" s="30">
        <v>3.6805555555555536E-2</v>
      </c>
      <c r="M63" s="30">
        <v>7.3611111111111072E-2</v>
      </c>
      <c r="N63" s="23">
        <v>0.2541666666666666</v>
      </c>
      <c r="O63" s="23">
        <v>0.32777777777777767</v>
      </c>
      <c r="P63" s="23"/>
      <c r="Q63" s="40"/>
    </row>
    <row r="64" spans="1:17" x14ac:dyDescent="0.35">
      <c r="B64" t="s">
        <v>88</v>
      </c>
      <c r="C64" s="28">
        <v>14</v>
      </c>
      <c r="D64" s="23">
        <v>0.42638888888888887</v>
      </c>
      <c r="E64" s="23">
        <v>1.0416666666666685E-2</v>
      </c>
      <c r="F64" s="23">
        <v>1.0416666666666666E-2</v>
      </c>
      <c r="G64" s="23">
        <v>4.2361111111111106E-2</v>
      </c>
      <c r="H64" s="23">
        <v>0.46875</v>
      </c>
      <c r="I64" s="23">
        <v>0</v>
      </c>
      <c r="J64" s="23"/>
      <c r="K64" s="23">
        <v>0.42638888888888887</v>
      </c>
      <c r="L64" s="30">
        <v>4.2361111111111127E-2</v>
      </c>
      <c r="M64" s="30">
        <v>8.4722222222222254E-2</v>
      </c>
      <c r="N64" s="23">
        <v>0.22083333333333327</v>
      </c>
      <c r="O64" s="23">
        <v>0.30555555555555552</v>
      </c>
      <c r="P64" s="23"/>
      <c r="Q64" s="40"/>
    </row>
    <row r="65" spans="1:17" x14ac:dyDescent="0.35">
      <c r="B65" t="s">
        <v>96</v>
      </c>
      <c r="C65" s="28">
        <v>11</v>
      </c>
      <c r="D65" s="23">
        <v>0.43194444444444446</v>
      </c>
      <c r="E65" s="23">
        <v>1.0416666666666685E-2</v>
      </c>
      <c r="F65" s="23">
        <v>1.0416666666666666E-2</v>
      </c>
      <c r="G65" s="42">
        <v>3.6805555555555557E-2</v>
      </c>
      <c r="H65" s="23">
        <v>0.46875</v>
      </c>
      <c r="I65" s="23">
        <v>0</v>
      </c>
      <c r="J65" s="23"/>
      <c r="K65" s="23">
        <v>0.43194444444444446</v>
      </c>
      <c r="L65" s="30">
        <v>3.6805555555555536E-2</v>
      </c>
      <c r="M65" s="30">
        <v>7.3611111111111072E-2</v>
      </c>
      <c r="N65" s="23">
        <v>0.25416666666666654</v>
      </c>
      <c r="O65" s="23">
        <v>0.32777777777777761</v>
      </c>
      <c r="P65" s="23"/>
      <c r="Q65" s="40"/>
    </row>
    <row r="66" spans="1:17" x14ac:dyDescent="0.35">
      <c r="B66" t="s">
        <v>88</v>
      </c>
      <c r="C66" s="28">
        <v>15</v>
      </c>
      <c r="D66" s="23">
        <v>0.43680555555555556</v>
      </c>
      <c r="E66" s="23">
        <v>1.0416666666666685E-2</v>
      </c>
      <c r="F66" s="23">
        <v>1.0416666666666666E-2</v>
      </c>
      <c r="G66" s="23">
        <v>4.2361111111111106E-2</v>
      </c>
      <c r="H66" s="23">
        <v>0.47916666666666669</v>
      </c>
      <c r="I66" s="23">
        <v>0</v>
      </c>
      <c r="J66" s="23"/>
      <c r="K66" s="23">
        <v>0.43680555555555556</v>
      </c>
      <c r="L66" s="30">
        <v>4.2361111111111127E-2</v>
      </c>
      <c r="M66" s="30">
        <v>8.4722222222222254E-2</v>
      </c>
      <c r="N66" s="23">
        <v>0.1472222222222222</v>
      </c>
      <c r="O66" s="23">
        <v>0.23194444444444445</v>
      </c>
      <c r="P66" s="23"/>
      <c r="Q66" s="40"/>
    </row>
    <row r="67" spans="1:17" x14ac:dyDescent="0.35">
      <c r="B67" t="s">
        <v>96</v>
      </c>
      <c r="C67" s="28">
        <v>12</v>
      </c>
      <c r="D67" s="23">
        <v>0.44236111111111115</v>
      </c>
      <c r="E67" s="23">
        <v>1.0416666666666685E-2</v>
      </c>
      <c r="F67" s="23">
        <v>1.0416666666666666E-2</v>
      </c>
      <c r="G67" s="23">
        <v>3.6805555555555557E-2</v>
      </c>
      <c r="H67" s="23">
        <v>0.47916666666666669</v>
      </c>
      <c r="I67" s="23">
        <v>0</v>
      </c>
      <c r="J67" s="23"/>
      <c r="K67" s="23">
        <v>0.44236111111111115</v>
      </c>
      <c r="L67" s="30">
        <v>3.6805555555555536E-2</v>
      </c>
      <c r="M67" s="30">
        <v>7.3611111111111072E-2</v>
      </c>
      <c r="N67" s="23">
        <v>0.2541666666666666</v>
      </c>
      <c r="O67" s="23">
        <v>0.32777777777777767</v>
      </c>
      <c r="P67" s="23"/>
      <c r="Q67"/>
    </row>
    <row r="68" spans="1:17" x14ac:dyDescent="0.35">
      <c r="B68" t="s">
        <v>88</v>
      </c>
      <c r="C68" s="28">
        <v>9</v>
      </c>
      <c r="D68" s="23">
        <v>0.44722222222222224</v>
      </c>
      <c r="E68" s="23">
        <v>1.0416666666666685E-2</v>
      </c>
      <c r="F68" s="23">
        <v>1.0416666666666666E-2</v>
      </c>
      <c r="G68" s="23">
        <v>4.2361111111111106E-2</v>
      </c>
      <c r="H68" s="23">
        <v>0.48958333333333337</v>
      </c>
      <c r="I68" s="23">
        <v>0</v>
      </c>
      <c r="J68" s="23"/>
      <c r="K68" s="23">
        <v>0.44722222222222224</v>
      </c>
      <c r="L68" s="30">
        <v>4.2361111111111127E-2</v>
      </c>
      <c r="M68" s="30">
        <v>0.12708333333333338</v>
      </c>
      <c r="N68" s="23">
        <v>0.18402777777777768</v>
      </c>
      <c r="O68" s="23">
        <v>0.31111111111111106</v>
      </c>
      <c r="P68" s="23"/>
      <c r="Q68"/>
    </row>
    <row r="69" spans="1:17" x14ac:dyDescent="0.35">
      <c r="A69" t="s">
        <v>63</v>
      </c>
      <c r="B69" t="s">
        <v>96</v>
      </c>
      <c r="C69" s="28">
        <v>16</v>
      </c>
      <c r="D69" s="23">
        <v>0.45277777777777778</v>
      </c>
      <c r="E69" s="23">
        <v>1.041666666666663E-2</v>
      </c>
      <c r="F69" s="23">
        <v>1.0416666666666666E-2</v>
      </c>
      <c r="G69" s="23">
        <v>3.6805555555555557E-2</v>
      </c>
      <c r="H69" s="23">
        <v>0.48958333333333331</v>
      </c>
      <c r="I69" s="23">
        <v>0</v>
      </c>
      <c r="J69" s="23"/>
      <c r="K69" s="23">
        <v>0.45277777777777778</v>
      </c>
      <c r="L69" s="30">
        <v>3.6805555555555536E-2</v>
      </c>
      <c r="M69" s="30">
        <v>3.6805555555555536E-2</v>
      </c>
      <c r="N69" s="23">
        <v>0.16944444444444434</v>
      </c>
      <c r="O69" s="23">
        <v>0.20624999999999988</v>
      </c>
      <c r="P69" s="23"/>
      <c r="Q69"/>
    </row>
    <row r="70" spans="1:17" x14ac:dyDescent="0.35">
      <c r="B70" t="s">
        <v>88</v>
      </c>
      <c r="C70" s="28">
        <v>10</v>
      </c>
      <c r="D70" s="23">
        <v>0.45833333333333331</v>
      </c>
      <c r="E70" s="23">
        <v>1.1111111111111072E-2</v>
      </c>
      <c r="F70" s="23">
        <v>1.0416666666666666E-2</v>
      </c>
      <c r="G70" s="23">
        <v>4.2361111111111106E-2</v>
      </c>
      <c r="H70" s="23">
        <v>0.50069444444444444</v>
      </c>
      <c r="I70" s="23">
        <v>-6.9444444444438647E-4</v>
      </c>
      <c r="J70" s="23"/>
      <c r="K70" s="23">
        <v>0.45763888888888893</v>
      </c>
      <c r="L70" s="30">
        <v>4.2361111111111127E-2</v>
      </c>
      <c r="M70" s="30">
        <v>0.12708333333333338</v>
      </c>
      <c r="N70" s="23">
        <v>0.18402777777777768</v>
      </c>
      <c r="O70" s="23">
        <v>0.31111111111111106</v>
      </c>
      <c r="P70" s="23"/>
      <c r="Q70"/>
    </row>
    <row r="71" spans="1:17" x14ac:dyDescent="0.35">
      <c r="B71" t="s">
        <v>96</v>
      </c>
      <c r="C71" s="28">
        <v>13</v>
      </c>
      <c r="D71" s="23">
        <v>0.46319444444444446</v>
      </c>
      <c r="E71" s="23">
        <v>1.0416666666666685E-2</v>
      </c>
      <c r="F71" s="23">
        <v>1.0416666666666666E-2</v>
      </c>
      <c r="G71" s="23">
        <v>3.6805555555555557E-2</v>
      </c>
      <c r="H71" s="23">
        <v>0.5</v>
      </c>
      <c r="I71" s="23">
        <v>0</v>
      </c>
      <c r="J71" s="23">
        <v>4.8611111111111494E-3</v>
      </c>
      <c r="K71" s="23">
        <v>0.46319444444444446</v>
      </c>
      <c r="L71" s="30">
        <v>3.6805555555555536E-2</v>
      </c>
      <c r="M71" s="30">
        <v>0.11041666666666661</v>
      </c>
      <c r="N71" s="23">
        <v>0.25416666666666654</v>
      </c>
      <c r="O71" s="23">
        <v>0.36458333333333315</v>
      </c>
      <c r="P71" s="23"/>
      <c r="Q71" s="40"/>
    </row>
    <row r="72" spans="1:17" x14ac:dyDescent="0.35">
      <c r="B72" t="s">
        <v>88</v>
      </c>
      <c r="C72" s="28">
        <v>11</v>
      </c>
      <c r="D72" s="23">
        <v>0.46875</v>
      </c>
      <c r="E72" s="23">
        <v>1.0416666666666685E-2</v>
      </c>
      <c r="F72" s="23">
        <v>1.0416666666666666E-2</v>
      </c>
      <c r="G72" s="23">
        <v>4.2361111111111106E-2</v>
      </c>
      <c r="H72" s="23">
        <v>0.51111111111111107</v>
      </c>
      <c r="I72" s="23">
        <v>0</v>
      </c>
      <c r="J72" s="23"/>
      <c r="K72" s="23">
        <v>0.46875</v>
      </c>
      <c r="L72" s="30">
        <v>4.2361111111111072E-2</v>
      </c>
      <c r="M72" s="30">
        <v>0.12708333333333333</v>
      </c>
      <c r="N72" s="23">
        <v>0.22083333333333321</v>
      </c>
      <c r="O72" s="23">
        <v>0.34791666666666654</v>
      </c>
      <c r="P72" s="23"/>
      <c r="Q72" s="40"/>
    </row>
    <row r="73" spans="1:17" x14ac:dyDescent="0.35">
      <c r="B73" t="s">
        <v>96</v>
      </c>
      <c r="C73" s="28">
        <v>14</v>
      </c>
      <c r="D73" s="23">
        <v>0.47361111111111115</v>
      </c>
      <c r="E73" s="23">
        <v>1.0416666666666685E-2</v>
      </c>
      <c r="F73" s="23">
        <v>1.0416666666666666E-2</v>
      </c>
      <c r="G73" s="23">
        <v>3.6805555555555557E-2</v>
      </c>
      <c r="H73" s="23">
        <v>0.51041666666666674</v>
      </c>
      <c r="I73" s="23">
        <v>0</v>
      </c>
      <c r="J73" s="23">
        <v>4.8611111111111494E-3</v>
      </c>
      <c r="K73" s="23">
        <v>0.47361111111111115</v>
      </c>
      <c r="L73" s="30">
        <v>3.6805555555555591E-2</v>
      </c>
      <c r="M73" s="30">
        <v>0.11041666666666666</v>
      </c>
      <c r="N73" s="23">
        <v>0.25416666666666654</v>
      </c>
      <c r="O73" s="23">
        <v>0.3645833333333332</v>
      </c>
      <c r="P73"/>
      <c r="Q73" s="40"/>
    </row>
    <row r="74" spans="1:17" x14ac:dyDescent="0.35">
      <c r="B74" t="s">
        <v>88</v>
      </c>
      <c r="C74" s="28">
        <v>12</v>
      </c>
      <c r="D74" s="23">
        <v>0.47916666666666669</v>
      </c>
      <c r="E74" s="23">
        <v>1.0416666666666685E-2</v>
      </c>
      <c r="F74" s="23">
        <v>6.9444444444444441E-3</v>
      </c>
      <c r="G74" s="23">
        <v>4.2361111111111106E-2</v>
      </c>
      <c r="H74" s="23">
        <v>0.52152777777777781</v>
      </c>
      <c r="I74" s="23">
        <v>-3.4722222222222654E-3</v>
      </c>
      <c r="J74" s="23"/>
      <c r="K74" s="23">
        <v>0.47569444444444442</v>
      </c>
      <c r="L74" s="30">
        <v>4.2361111111111127E-2</v>
      </c>
      <c r="M74" s="30">
        <v>0.12708333333333338</v>
      </c>
      <c r="N74" s="23">
        <v>0.22083333333333321</v>
      </c>
      <c r="O74" s="23">
        <v>0.3479166666666666</v>
      </c>
      <c r="P74"/>
      <c r="Q74" s="40"/>
    </row>
    <row r="75" spans="1:17" x14ac:dyDescent="0.35">
      <c r="B75" t="s">
        <v>96</v>
      </c>
      <c r="C75" s="28">
        <v>15</v>
      </c>
      <c r="D75" s="23">
        <v>0.48055555555555557</v>
      </c>
      <c r="E75" s="23">
        <v>6.9444444444444198E-3</v>
      </c>
      <c r="F75" s="23">
        <v>6.9444444444444441E-3</v>
      </c>
      <c r="G75" s="23">
        <v>3.6805555555555557E-2</v>
      </c>
      <c r="H75" s="23">
        <v>0.51736111111111116</v>
      </c>
      <c r="I75" s="23">
        <v>0</v>
      </c>
      <c r="J75" s="23">
        <v>1.388888888888884E-3</v>
      </c>
      <c r="K75" s="23">
        <v>0.48055555555555557</v>
      </c>
      <c r="L75" s="30">
        <v>3.6805555555555591E-2</v>
      </c>
      <c r="M75" s="30">
        <v>0.11041666666666666</v>
      </c>
      <c r="N75" s="23">
        <v>0.1694444444444444</v>
      </c>
      <c r="O75" s="23">
        <v>0.27986111111111106</v>
      </c>
      <c r="P75"/>
      <c r="Q75" s="40"/>
    </row>
    <row r="76" spans="1:17" x14ac:dyDescent="0.35">
      <c r="A76" t="s">
        <v>63</v>
      </c>
      <c r="B76" t="s">
        <v>96</v>
      </c>
      <c r="C76" s="28">
        <v>17</v>
      </c>
      <c r="D76" s="23">
        <v>0.48749999999999999</v>
      </c>
      <c r="E76" s="23">
        <v>6.9444444444444198E-3</v>
      </c>
      <c r="F76" s="23">
        <v>6.9444444444444441E-3</v>
      </c>
      <c r="G76" s="23">
        <v>3.6805555555555557E-2</v>
      </c>
      <c r="H76" s="23">
        <v>0.52430555555555558</v>
      </c>
      <c r="I76" s="23">
        <v>0</v>
      </c>
      <c r="J76" s="23"/>
      <c r="K76" s="23">
        <v>0.48749999999999999</v>
      </c>
      <c r="L76" s="30">
        <v>3.6805555555555591E-2</v>
      </c>
      <c r="M76" s="30">
        <v>3.6805555555555591E-2</v>
      </c>
      <c r="N76" s="23">
        <v>0.16944444444444429</v>
      </c>
      <c r="O76" s="23">
        <v>0.20624999999999988</v>
      </c>
      <c r="P76"/>
      <c r="Q76" s="40"/>
    </row>
    <row r="77" spans="1:17" x14ac:dyDescent="0.35">
      <c r="B77" t="s">
        <v>88</v>
      </c>
      <c r="C77" s="28">
        <v>16</v>
      </c>
      <c r="D77" s="23">
        <v>0.48958333333333331</v>
      </c>
      <c r="E77" s="23">
        <v>1.041666666666663E-2</v>
      </c>
      <c r="F77" s="23">
        <v>6.9444444444444441E-3</v>
      </c>
      <c r="G77" s="23">
        <v>4.2361111111111106E-2</v>
      </c>
      <c r="H77" s="23">
        <v>0.53194444444444444</v>
      </c>
      <c r="I77" s="23">
        <v>-3.4722222222222099E-3</v>
      </c>
      <c r="J77" s="23"/>
      <c r="K77" s="23">
        <v>0.4861111111111111</v>
      </c>
      <c r="L77" s="30">
        <v>4.2361111111111127E-2</v>
      </c>
      <c r="M77" s="30">
        <v>4.2361111111111127E-2</v>
      </c>
      <c r="N77" s="23">
        <v>0.14722222222222214</v>
      </c>
      <c r="O77" s="23">
        <v>0.18958333333333327</v>
      </c>
      <c r="P77"/>
      <c r="Q77" s="40"/>
    </row>
    <row r="78" spans="1:17" x14ac:dyDescent="0.35">
      <c r="A78" t="s">
        <v>63</v>
      </c>
      <c r="B78" t="s">
        <v>96</v>
      </c>
      <c r="C78" s="28">
        <v>18</v>
      </c>
      <c r="D78" s="23">
        <v>0.49444444444444446</v>
      </c>
      <c r="E78" s="23">
        <v>6.9444444444444753E-3</v>
      </c>
      <c r="F78" s="23">
        <v>6.9444444444444441E-3</v>
      </c>
      <c r="G78" s="23">
        <v>3.6805555555555557E-2</v>
      </c>
      <c r="H78" s="23">
        <v>0.53125</v>
      </c>
      <c r="I78" s="23">
        <v>0</v>
      </c>
      <c r="J78" s="23"/>
      <c r="K78" s="23">
        <v>0.49444444444444446</v>
      </c>
      <c r="L78" s="30">
        <v>3.6805555555555536E-2</v>
      </c>
      <c r="M78" s="30">
        <v>3.6805555555555536E-2</v>
      </c>
      <c r="N78" s="23">
        <v>0.16944444444444429</v>
      </c>
      <c r="O78" s="23">
        <v>0.20624999999999982</v>
      </c>
      <c r="P78"/>
    </row>
    <row r="79" spans="1:17" x14ac:dyDescent="0.35">
      <c r="B79" t="s">
        <v>88</v>
      </c>
      <c r="C79" s="28">
        <v>13</v>
      </c>
      <c r="D79" s="23">
        <v>0.5</v>
      </c>
      <c r="E79" s="23">
        <v>1.0416666666666685E-2</v>
      </c>
      <c r="F79" s="23">
        <v>6.9444444444444441E-3</v>
      </c>
      <c r="G79" s="23">
        <v>4.2361111111111106E-2</v>
      </c>
      <c r="H79" s="23">
        <v>0.54236111111111107</v>
      </c>
      <c r="I79" s="23">
        <v>-3.4722222222222654E-3</v>
      </c>
      <c r="J79" s="23"/>
      <c r="K79" s="23">
        <v>0.49652777777777773</v>
      </c>
      <c r="L79" s="30">
        <v>4.2361111111111072E-2</v>
      </c>
      <c r="M79" s="30">
        <v>0.12708333333333333</v>
      </c>
      <c r="N79" s="23">
        <v>0.22083333333333321</v>
      </c>
      <c r="O79" s="23">
        <v>0.34791666666666654</v>
      </c>
      <c r="P79"/>
    </row>
    <row r="80" spans="1:17" x14ac:dyDescent="0.35">
      <c r="A80" t="s">
        <v>63</v>
      </c>
      <c r="B80" t="s">
        <v>96</v>
      </c>
      <c r="C80" s="28">
        <v>7</v>
      </c>
      <c r="D80" s="23">
        <v>0.50138888888888888</v>
      </c>
      <c r="E80" s="23">
        <v>6.9444444444444198E-3</v>
      </c>
      <c r="F80" s="23">
        <v>6.9444444444444441E-3</v>
      </c>
      <c r="G80" s="23">
        <v>3.6805555555555557E-2</v>
      </c>
      <c r="H80" s="23">
        <v>0.53819444444444442</v>
      </c>
      <c r="I80" s="23">
        <v>0</v>
      </c>
      <c r="J80" s="23"/>
      <c r="K80" s="23">
        <v>0.50138888888888888</v>
      </c>
      <c r="L80" s="30">
        <v>3.6805555555555536E-2</v>
      </c>
      <c r="M80" s="30">
        <v>0.11041666666666664</v>
      </c>
      <c r="N80" s="23">
        <v>0.25416666666666654</v>
      </c>
      <c r="O80" s="23">
        <v>0.36458333333333315</v>
      </c>
      <c r="P80"/>
    </row>
    <row r="81" spans="1:17" x14ac:dyDescent="0.35">
      <c r="A81" t="s">
        <v>63</v>
      </c>
      <c r="B81" t="s">
        <v>96</v>
      </c>
      <c r="C81" s="28">
        <v>5</v>
      </c>
      <c r="D81" s="23">
        <v>0.5083333333333333</v>
      </c>
      <c r="E81" s="23">
        <v>6.9444444444444198E-3</v>
      </c>
      <c r="F81" s="23">
        <v>6.9444444444444441E-3</v>
      </c>
      <c r="G81" s="23">
        <v>3.6805555555555557E-2</v>
      </c>
      <c r="H81" s="23">
        <v>0.54513888888888884</v>
      </c>
      <c r="I81" s="23">
        <v>0</v>
      </c>
      <c r="J81" s="23"/>
      <c r="K81" s="23">
        <v>0.5083333333333333</v>
      </c>
      <c r="L81" s="30">
        <v>3.6805555555555536E-2</v>
      </c>
      <c r="M81" s="30">
        <v>0.14722222222222214</v>
      </c>
      <c r="N81" s="23">
        <v>0.1694444444444444</v>
      </c>
      <c r="O81" s="23">
        <v>0.31666666666666654</v>
      </c>
      <c r="P81"/>
    </row>
    <row r="82" spans="1:17" x14ac:dyDescent="0.35">
      <c r="B82" t="s">
        <v>88</v>
      </c>
      <c r="C82" s="28">
        <v>14</v>
      </c>
      <c r="D82" s="23">
        <v>0.51041666666666674</v>
      </c>
      <c r="E82" s="23">
        <v>1.0416666666666741E-2</v>
      </c>
      <c r="F82" s="23">
        <v>6.9444444444444441E-3</v>
      </c>
      <c r="G82" s="23">
        <v>4.2361111111111106E-2</v>
      </c>
      <c r="H82" s="23">
        <v>0.55277777777777781</v>
      </c>
      <c r="I82" s="23">
        <v>-3.4722222222223209E-3</v>
      </c>
      <c r="J82" s="23"/>
      <c r="K82" s="23">
        <v>0.50694444444444442</v>
      </c>
      <c r="L82" s="30">
        <v>4.2361111111111072E-2</v>
      </c>
      <c r="M82" s="30">
        <v>0.25416666666666654</v>
      </c>
      <c r="N82" s="23">
        <v>0.22083333333333327</v>
      </c>
      <c r="O82" s="23">
        <v>0.47499999999999981</v>
      </c>
      <c r="P82"/>
      <c r="Q82" s="40"/>
    </row>
    <row r="83" spans="1:17" x14ac:dyDescent="0.35">
      <c r="A83" t="s">
        <v>63</v>
      </c>
      <c r="B83" t="s">
        <v>96</v>
      </c>
      <c r="C83" s="28">
        <v>8</v>
      </c>
      <c r="D83" s="23">
        <v>0.51527777777777783</v>
      </c>
      <c r="E83" s="23">
        <v>6.9444444444445308E-3</v>
      </c>
      <c r="F83" s="23">
        <v>6.9444444444444441E-3</v>
      </c>
      <c r="G83" s="42">
        <v>3.6805555555555557E-2</v>
      </c>
      <c r="H83" s="23">
        <v>0.55208333333333337</v>
      </c>
      <c r="I83" s="23">
        <v>0</v>
      </c>
      <c r="J83" s="23"/>
      <c r="K83" s="23">
        <v>0.51527777777777783</v>
      </c>
      <c r="L83" s="30">
        <v>3.6805555555555536E-2</v>
      </c>
      <c r="M83" s="30">
        <v>0.11041666666666661</v>
      </c>
      <c r="N83" s="23">
        <v>0.25416666666666654</v>
      </c>
      <c r="O83" s="23">
        <v>0.36458333333333315</v>
      </c>
      <c r="P83"/>
      <c r="Q83" s="40"/>
    </row>
    <row r="84" spans="1:17" x14ac:dyDescent="0.35">
      <c r="B84" t="s">
        <v>88</v>
      </c>
      <c r="C84" s="28">
        <v>15</v>
      </c>
      <c r="D84" s="23">
        <v>0.51736111111111116</v>
      </c>
      <c r="E84" s="23">
        <v>6.9444444444444198E-3</v>
      </c>
      <c r="F84" s="23">
        <v>6.9444444444444441E-3</v>
      </c>
      <c r="G84" s="23">
        <v>4.2361111111111106E-2</v>
      </c>
      <c r="H84" s="23">
        <v>0.55972222222222223</v>
      </c>
      <c r="I84" s="23">
        <v>0</v>
      </c>
      <c r="J84" s="23"/>
      <c r="K84" s="23">
        <v>0.51736111111111116</v>
      </c>
      <c r="L84" s="30">
        <v>4.2361111111111072E-2</v>
      </c>
      <c r="M84" s="30">
        <v>0.12708333333333333</v>
      </c>
      <c r="N84" s="23">
        <v>0.1472222222222222</v>
      </c>
      <c r="O84" s="23">
        <v>0.27430555555555552</v>
      </c>
      <c r="P84"/>
      <c r="Q84" s="40"/>
    </row>
    <row r="85" spans="1:17" x14ac:dyDescent="0.35">
      <c r="B85" t="s">
        <v>96</v>
      </c>
      <c r="C85" s="28">
        <v>9</v>
      </c>
      <c r="D85" s="23">
        <v>0.52222222222222225</v>
      </c>
      <c r="E85" s="23">
        <v>6.9444444444444198E-3</v>
      </c>
      <c r="F85" s="23">
        <v>6.9444444444444441E-3</v>
      </c>
      <c r="G85" s="23">
        <v>3.6805555555555557E-2</v>
      </c>
      <c r="H85" s="23">
        <v>0.55902777777777779</v>
      </c>
      <c r="I85" s="23">
        <v>0</v>
      </c>
      <c r="J85" s="23">
        <v>3.2638888888888884E-2</v>
      </c>
      <c r="K85" s="23">
        <v>0.52222222222222225</v>
      </c>
      <c r="L85" s="30">
        <v>3.6805555555555536E-2</v>
      </c>
      <c r="M85" s="30">
        <v>0.11041666666666661</v>
      </c>
      <c r="N85" s="23">
        <v>0.2541666666666666</v>
      </c>
      <c r="O85" s="23">
        <v>0.3645833333333332</v>
      </c>
      <c r="P85"/>
      <c r="Q85" s="40"/>
    </row>
    <row r="86" spans="1:17" x14ac:dyDescent="0.35">
      <c r="B86" t="s">
        <v>88</v>
      </c>
      <c r="C86" s="28">
        <v>17</v>
      </c>
      <c r="D86" s="23">
        <v>0.52430555555555558</v>
      </c>
      <c r="E86" s="23">
        <v>6.9444444444444198E-3</v>
      </c>
      <c r="F86" s="23">
        <v>6.9444444444444441E-3</v>
      </c>
      <c r="G86" s="23">
        <v>4.2361111111111106E-2</v>
      </c>
      <c r="H86" s="23">
        <v>0.56666666666666665</v>
      </c>
      <c r="I86" s="23">
        <v>0</v>
      </c>
      <c r="J86" s="23"/>
      <c r="K86" s="23">
        <v>0.52430555555555558</v>
      </c>
      <c r="L86" s="30">
        <v>4.2361111111111072E-2</v>
      </c>
      <c r="M86" s="30">
        <v>4.2361111111111072E-2</v>
      </c>
      <c r="N86" s="23">
        <v>0.1472222222222222</v>
      </c>
      <c r="O86" s="23">
        <v>0.18958333333333327</v>
      </c>
      <c r="P86"/>
      <c r="Q86" s="40"/>
    </row>
    <row r="87" spans="1:17" x14ac:dyDescent="0.35">
      <c r="B87" t="s">
        <v>96</v>
      </c>
      <c r="C87" s="28">
        <v>10</v>
      </c>
      <c r="D87" s="23">
        <v>0.52916666666666667</v>
      </c>
      <c r="E87" s="23">
        <v>6.9444444444444198E-3</v>
      </c>
      <c r="F87" s="23">
        <v>6.9444444444444441E-3</v>
      </c>
      <c r="G87" s="23">
        <v>3.6805555555555557E-2</v>
      </c>
      <c r="H87" s="23">
        <v>0.56597222222222221</v>
      </c>
      <c r="I87" s="23">
        <v>0</v>
      </c>
      <c r="J87" s="23">
        <v>2.8472222222222232E-2</v>
      </c>
      <c r="K87" s="23">
        <v>0.52916666666666667</v>
      </c>
      <c r="L87" s="30">
        <v>3.6805555555555536E-2</v>
      </c>
      <c r="M87" s="30">
        <v>0.11041666666666661</v>
      </c>
      <c r="N87" s="23">
        <v>0.2541666666666666</v>
      </c>
      <c r="O87" s="23">
        <v>0.3645833333333332</v>
      </c>
      <c r="P87"/>
      <c r="Q87" s="40"/>
    </row>
    <row r="88" spans="1:17" x14ac:dyDescent="0.35">
      <c r="B88" t="s">
        <v>88</v>
      </c>
      <c r="C88" s="28">
        <v>18</v>
      </c>
      <c r="D88" s="23">
        <v>0.53125</v>
      </c>
      <c r="E88" s="23">
        <v>6.9444444444444198E-3</v>
      </c>
      <c r="F88" s="23">
        <v>6.9444444444444441E-3</v>
      </c>
      <c r="G88" s="23">
        <v>4.2361111111111106E-2</v>
      </c>
      <c r="H88" s="23">
        <v>0.57361111111111107</v>
      </c>
      <c r="I88" s="23">
        <v>0</v>
      </c>
      <c r="J88" s="23"/>
      <c r="K88" s="23">
        <v>0.53125</v>
      </c>
      <c r="L88" s="30">
        <v>4.2361111111111072E-2</v>
      </c>
      <c r="M88" s="30">
        <v>4.2361111111111072E-2</v>
      </c>
      <c r="N88" s="23">
        <v>0.18402777777777768</v>
      </c>
      <c r="O88" s="23">
        <v>0.22638888888888875</v>
      </c>
      <c r="P88"/>
    </row>
    <row r="89" spans="1:17" x14ac:dyDescent="0.35">
      <c r="B89" t="s">
        <v>96</v>
      </c>
      <c r="C89" s="28">
        <v>11</v>
      </c>
      <c r="D89" s="23">
        <v>0.53611111111111109</v>
      </c>
      <c r="E89" s="23">
        <v>6.9444444444444198E-3</v>
      </c>
      <c r="F89" s="23">
        <v>6.9444444444444441E-3</v>
      </c>
      <c r="G89" s="23">
        <v>3.6805555555555557E-2</v>
      </c>
      <c r="H89" s="23">
        <v>0.57291666666666663</v>
      </c>
      <c r="I89" s="23">
        <v>0</v>
      </c>
      <c r="J89" s="23">
        <v>2.5000000000000022E-2</v>
      </c>
      <c r="K89" s="23">
        <v>0.53611111111111109</v>
      </c>
      <c r="L89" s="30">
        <v>3.6805555555555536E-2</v>
      </c>
      <c r="M89" s="30">
        <v>0.11041666666666661</v>
      </c>
      <c r="N89" s="23">
        <v>0.25416666666666654</v>
      </c>
      <c r="O89" s="23">
        <v>0.36458333333333315</v>
      </c>
      <c r="P89"/>
      <c r="Q89" s="40"/>
    </row>
    <row r="90" spans="1:17" x14ac:dyDescent="0.35">
      <c r="B90" t="s">
        <v>88</v>
      </c>
      <c r="C90" s="28">
        <v>7</v>
      </c>
      <c r="D90" s="23">
        <v>0.53819444444444442</v>
      </c>
      <c r="E90" s="23">
        <v>6.9444444444444198E-3</v>
      </c>
      <c r="F90" s="23">
        <v>6.9444444444444441E-3</v>
      </c>
      <c r="G90" s="23">
        <v>4.2361111111111106E-2</v>
      </c>
      <c r="H90" s="23">
        <v>0.58055555555555549</v>
      </c>
      <c r="I90" s="23">
        <v>0</v>
      </c>
      <c r="J90" s="23"/>
      <c r="K90" s="23">
        <v>0.53819444444444442</v>
      </c>
      <c r="L90" s="30">
        <v>4.2361111111111072E-2</v>
      </c>
      <c r="M90" s="30">
        <v>0.12708333333333333</v>
      </c>
      <c r="N90" s="23">
        <v>0.22083333333333324</v>
      </c>
      <c r="O90" s="23">
        <v>0.34791666666666654</v>
      </c>
      <c r="P90"/>
    </row>
    <row r="91" spans="1:17" x14ac:dyDescent="0.35">
      <c r="B91" t="s">
        <v>96</v>
      </c>
      <c r="C91" s="28">
        <v>12</v>
      </c>
      <c r="D91" s="23">
        <v>0.54305555555555551</v>
      </c>
      <c r="E91" s="23">
        <v>6.9444444444444198E-3</v>
      </c>
      <c r="F91" s="23">
        <v>6.9444444444444441E-3</v>
      </c>
      <c r="G91" s="23">
        <v>3.6805555555555557E-2</v>
      </c>
      <c r="H91" s="23">
        <v>0.57986111111111105</v>
      </c>
      <c r="I91" s="23">
        <v>0</v>
      </c>
      <c r="J91" s="23">
        <v>2.1527777777777701E-2</v>
      </c>
      <c r="K91" s="23">
        <v>0.54305555555555551</v>
      </c>
      <c r="L91" s="30">
        <v>3.6805555555555536E-2</v>
      </c>
      <c r="M91" s="30">
        <v>0.11041666666666661</v>
      </c>
      <c r="N91" s="23">
        <v>0.2541666666666666</v>
      </c>
      <c r="O91" s="23">
        <v>0.3645833333333332</v>
      </c>
      <c r="P91"/>
    </row>
    <row r="92" spans="1:17" x14ac:dyDescent="0.35">
      <c r="B92" t="s">
        <v>88</v>
      </c>
      <c r="C92" s="28">
        <v>5</v>
      </c>
      <c r="D92" s="23">
        <v>0.54513888888888884</v>
      </c>
      <c r="E92" s="23">
        <v>6.9444444444444198E-3</v>
      </c>
      <c r="F92" s="23">
        <v>6.9444444444444441E-3</v>
      </c>
      <c r="G92" s="23">
        <v>4.2361111111111106E-2</v>
      </c>
      <c r="H92" s="23">
        <v>0.58749999999999991</v>
      </c>
      <c r="I92" s="23">
        <v>0</v>
      </c>
      <c r="J92" s="23"/>
      <c r="K92" s="23">
        <v>0.54513888888888884</v>
      </c>
      <c r="L92" s="30">
        <v>4.2361111111111072E-2</v>
      </c>
      <c r="M92" s="30">
        <v>0.12708333333333333</v>
      </c>
      <c r="N92" s="23">
        <v>0.18402777777777768</v>
      </c>
      <c r="O92" s="23">
        <v>0.31111111111111101</v>
      </c>
      <c r="P92"/>
    </row>
    <row r="93" spans="1:17" x14ac:dyDescent="0.35">
      <c r="A93" t="s">
        <v>63</v>
      </c>
      <c r="B93" t="s">
        <v>96</v>
      </c>
      <c r="C93" s="28">
        <v>6</v>
      </c>
      <c r="D93" s="23">
        <v>0.54999999999999993</v>
      </c>
      <c r="E93" s="23">
        <v>6.9444444444444198E-3</v>
      </c>
      <c r="F93" s="23">
        <v>6.9444444444444441E-3</v>
      </c>
      <c r="G93" s="23">
        <v>3.6805555555555557E-2</v>
      </c>
      <c r="H93" s="23">
        <v>0.58680555555555547</v>
      </c>
      <c r="I93" s="23">
        <v>0</v>
      </c>
      <c r="J93" s="23"/>
      <c r="K93" s="23">
        <v>0.54999999999999993</v>
      </c>
      <c r="L93" s="30">
        <v>3.6805555555555536E-2</v>
      </c>
      <c r="M93" s="30">
        <v>0.14722222222222217</v>
      </c>
      <c r="N93" s="23">
        <v>0.1694444444444444</v>
      </c>
      <c r="O93" s="23">
        <v>0.31666666666666654</v>
      </c>
      <c r="P93"/>
    </row>
    <row r="94" spans="1:17" x14ac:dyDescent="0.35">
      <c r="B94" t="s">
        <v>88</v>
      </c>
      <c r="C94" s="28">
        <v>8</v>
      </c>
      <c r="D94" s="23">
        <v>0.55208333333333337</v>
      </c>
      <c r="E94" s="23">
        <v>6.9444444444445308E-3</v>
      </c>
      <c r="F94" s="23">
        <v>6.9444444444444441E-3</v>
      </c>
      <c r="G94" s="23">
        <v>4.2361111111111106E-2</v>
      </c>
      <c r="H94" s="23">
        <v>0.59444444444444444</v>
      </c>
      <c r="I94" s="23">
        <v>0</v>
      </c>
      <c r="J94" s="23"/>
      <c r="K94" s="23">
        <v>0.55208333333333337</v>
      </c>
      <c r="L94" s="30">
        <v>4.2361111111111072E-2</v>
      </c>
      <c r="M94" s="30">
        <v>0.12708333333333333</v>
      </c>
      <c r="N94" s="23">
        <v>0.22083333333333321</v>
      </c>
      <c r="O94" s="23">
        <v>0.34791666666666654</v>
      </c>
      <c r="P94"/>
    </row>
    <row r="95" spans="1:17" x14ac:dyDescent="0.35">
      <c r="A95" t="s">
        <v>63</v>
      </c>
      <c r="B95" t="s">
        <v>96</v>
      </c>
      <c r="C95" s="28">
        <v>1</v>
      </c>
      <c r="D95" s="23">
        <v>0.55694444444444446</v>
      </c>
      <c r="E95" s="23">
        <v>6.9444444444445308E-3</v>
      </c>
      <c r="F95" s="23">
        <v>6.9444444444444441E-3</v>
      </c>
      <c r="G95" s="23">
        <v>3.6805555555555557E-2</v>
      </c>
      <c r="H95" s="23">
        <v>0.59375</v>
      </c>
      <c r="I95" s="23">
        <v>0</v>
      </c>
      <c r="J95" s="23"/>
      <c r="K95" s="23">
        <v>0.55694444444444446</v>
      </c>
      <c r="L95" s="30">
        <v>3.6805555555555536E-2</v>
      </c>
      <c r="M95" s="30">
        <v>0.11041666666666661</v>
      </c>
      <c r="N95" s="23">
        <v>0.2541666666666666</v>
      </c>
      <c r="O95" s="23">
        <v>0.3645833333333332</v>
      </c>
      <c r="P95"/>
    </row>
    <row r="96" spans="1:17" x14ac:dyDescent="0.35">
      <c r="A96" t="s">
        <v>70</v>
      </c>
      <c r="B96" t="s">
        <v>88</v>
      </c>
      <c r="C96" s="28">
        <v>9</v>
      </c>
      <c r="D96" s="23">
        <v>0.55902777777777779</v>
      </c>
      <c r="E96" s="23">
        <v>6.9444444444444198E-3</v>
      </c>
      <c r="F96" s="23">
        <v>6.9444444444444441E-3</v>
      </c>
      <c r="G96" s="23">
        <v>4.2361111111111106E-2</v>
      </c>
      <c r="H96" s="23">
        <v>0.60138888888888886</v>
      </c>
      <c r="I96" s="23">
        <v>0</v>
      </c>
      <c r="J96" s="23"/>
      <c r="K96" s="23">
        <v>0.55902777777777779</v>
      </c>
      <c r="L96" s="30">
        <v>4.2361111111111072E-2</v>
      </c>
      <c r="M96" s="30">
        <v>0.2541666666666666</v>
      </c>
      <c r="N96" s="23">
        <v>0.18402777777777768</v>
      </c>
      <c r="O96" s="23">
        <v>0.43819444444444428</v>
      </c>
      <c r="P96"/>
    </row>
    <row r="97" spans="1:16" x14ac:dyDescent="0.35">
      <c r="B97" t="s">
        <v>96</v>
      </c>
      <c r="C97" s="28">
        <v>16</v>
      </c>
      <c r="D97" s="23">
        <v>0.56388888888888888</v>
      </c>
      <c r="E97" s="23">
        <v>6.9444444444444198E-3</v>
      </c>
      <c r="F97" s="23">
        <v>6.9444444444444441E-3</v>
      </c>
      <c r="G97" s="23">
        <v>3.6805555555555557E-2</v>
      </c>
      <c r="H97" s="23">
        <v>0.60069444444444442</v>
      </c>
      <c r="I97" s="23">
        <v>0</v>
      </c>
      <c r="J97" s="23">
        <v>3.1944444444444442E-2</v>
      </c>
      <c r="K97" s="23">
        <v>0.56388888888888888</v>
      </c>
      <c r="L97" s="30">
        <v>3.6805555555555536E-2</v>
      </c>
      <c r="M97" s="30">
        <v>7.3611111111111072E-2</v>
      </c>
      <c r="N97" s="23">
        <v>0.16944444444444434</v>
      </c>
      <c r="O97" s="23">
        <v>0.24305555555555541</v>
      </c>
      <c r="P97"/>
    </row>
    <row r="98" spans="1:16" x14ac:dyDescent="0.35">
      <c r="A98" t="s">
        <v>70</v>
      </c>
      <c r="B98" t="s">
        <v>88</v>
      </c>
      <c r="C98" s="28">
        <v>10</v>
      </c>
      <c r="D98" s="23">
        <v>0.56597222222222221</v>
      </c>
      <c r="E98" s="23">
        <v>6.9444444444444198E-3</v>
      </c>
      <c r="F98" s="23">
        <v>6.9444444444444441E-3</v>
      </c>
      <c r="G98" s="23">
        <v>4.2361111111111106E-2</v>
      </c>
      <c r="H98" s="23">
        <v>0.60833333333333328</v>
      </c>
      <c r="I98" s="23">
        <v>0</v>
      </c>
      <c r="J98" s="23"/>
      <c r="K98" s="23">
        <v>0.56597222222222221</v>
      </c>
      <c r="L98" s="30">
        <v>4.2361111111111072E-2</v>
      </c>
      <c r="M98" s="30">
        <v>0.16944444444444445</v>
      </c>
      <c r="N98" s="23">
        <v>0.18402777777777768</v>
      </c>
      <c r="O98" s="23">
        <v>0.35347222222222213</v>
      </c>
      <c r="P98"/>
    </row>
    <row r="99" spans="1:16" x14ac:dyDescent="0.35">
      <c r="B99" t="s">
        <v>96</v>
      </c>
      <c r="C99" s="28">
        <v>13</v>
      </c>
      <c r="D99" s="23">
        <v>0.5708333333333333</v>
      </c>
      <c r="E99" s="23">
        <v>6.9444444444444198E-3</v>
      </c>
      <c r="F99" s="23">
        <v>6.9444444444444441E-3</v>
      </c>
      <c r="G99" s="23">
        <v>3.6805555555555557E-2</v>
      </c>
      <c r="H99" s="23">
        <v>0.60763888888888884</v>
      </c>
      <c r="I99" s="23">
        <v>0</v>
      </c>
      <c r="J99" s="23">
        <v>2.8472222222222232E-2</v>
      </c>
      <c r="K99" s="23">
        <v>0.5708333333333333</v>
      </c>
      <c r="L99" s="30">
        <v>3.6805555555555536E-2</v>
      </c>
      <c r="M99" s="30">
        <v>0.14722222222222214</v>
      </c>
      <c r="N99" s="23">
        <v>0.25416666666666654</v>
      </c>
      <c r="O99" s="23">
        <v>0.40138888888888868</v>
      </c>
      <c r="P99"/>
    </row>
    <row r="100" spans="1:16" x14ac:dyDescent="0.35">
      <c r="A100" t="s">
        <v>70</v>
      </c>
      <c r="B100" t="s">
        <v>88</v>
      </c>
      <c r="C100" s="28">
        <v>11</v>
      </c>
      <c r="D100" s="23">
        <v>0.57291666666666663</v>
      </c>
      <c r="E100" s="23">
        <v>6.9444444444444198E-3</v>
      </c>
      <c r="F100" s="23">
        <v>6.9444444444444441E-3</v>
      </c>
      <c r="G100" s="23">
        <v>4.2361111111111106E-2</v>
      </c>
      <c r="H100" s="23">
        <v>0.6152777777777777</v>
      </c>
      <c r="I100" s="23">
        <v>0</v>
      </c>
      <c r="J100" s="23"/>
      <c r="K100" s="23">
        <v>0.57291666666666663</v>
      </c>
      <c r="L100" s="30">
        <v>4.2361111111111072E-2</v>
      </c>
      <c r="M100" s="30">
        <v>0.1694444444444444</v>
      </c>
      <c r="N100" s="23">
        <v>0.22083333333333321</v>
      </c>
      <c r="O100" s="23">
        <v>0.39027777777777761</v>
      </c>
      <c r="P100"/>
    </row>
    <row r="101" spans="1:16" x14ac:dyDescent="0.35">
      <c r="B101" t="s">
        <v>96</v>
      </c>
      <c r="C101" s="28">
        <v>14</v>
      </c>
      <c r="D101" s="23">
        <v>0.57777777777777772</v>
      </c>
      <c r="E101" s="23">
        <v>6.9444444444444198E-3</v>
      </c>
      <c r="F101" s="23">
        <v>6.9444444444444441E-3</v>
      </c>
      <c r="G101" s="23">
        <v>3.6805555555555557E-2</v>
      </c>
      <c r="H101" s="23">
        <v>0.61458333333333326</v>
      </c>
      <c r="I101" s="23">
        <v>0</v>
      </c>
      <c r="J101" s="23">
        <v>2.4999999999999911E-2</v>
      </c>
      <c r="K101" s="23">
        <v>0.57777777777777772</v>
      </c>
      <c r="L101" s="30">
        <v>3.6805555555555536E-2</v>
      </c>
      <c r="M101" s="30">
        <v>0.22083333333333327</v>
      </c>
      <c r="N101" s="23">
        <v>0.25416666666666654</v>
      </c>
      <c r="O101" s="23">
        <v>0.47499999999999981</v>
      </c>
      <c r="P101"/>
    </row>
    <row r="102" spans="1:16" x14ac:dyDescent="0.35">
      <c r="A102" t="s">
        <v>70</v>
      </c>
      <c r="B102" t="s">
        <v>88</v>
      </c>
      <c r="C102" s="28">
        <v>12</v>
      </c>
      <c r="D102" s="23">
        <v>0.57986111111111105</v>
      </c>
      <c r="E102" s="23">
        <v>6.9444444444444198E-3</v>
      </c>
      <c r="F102" s="23">
        <v>6.9444444444444441E-3</v>
      </c>
      <c r="G102" s="23">
        <v>4.2361111111111106E-2</v>
      </c>
      <c r="H102" s="23">
        <v>0.62222222222222212</v>
      </c>
      <c r="I102" s="23">
        <v>0</v>
      </c>
      <c r="J102" s="23"/>
      <c r="K102" s="23">
        <v>0.57986111111111105</v>
      </c>
      <c r="L102" s="30">
        <v>4.2361111111111072E-2</v>
      </c>
      <c r="M102" s="30">
        <v>0.16944444444444445</v>
      </c>
      <c r="N102" s="23">
        <v>0.22083333333333321</v>
      </c>
      <c r="O102" s="23">
        <v>0.39027777777777767</v>
      </c>
      <c r="P102"/>
    </row>
    <row r="103" spans="1:16" x14ac:dyDescent="0.35">
      <c r="B103" t="s">
        <v>96</v>
      </c>
      <c r="C103" s="28">
        <v>15</v>
      </c>
      <c r="D103" s="23">
        <v>0.58472222222222214</v>
      </c>
      <c r="E103" s="23">
        <v>6.9444444444444198E-3</v>
      </c>
      <c r="F103" s="23">
        <v>6.9444444444444441E-3</v>
      </c>
      <c r="G103" s="42">
        <v>3.6805555555555557E-2</v>
      </c>
      <c r="H103" s="23">
        <v>0.62152777777777768</v>
      </c>
      <c r="I103" s="23">
        <v>0</v>
      </c>
      <c r="J103" s="23">
        <v>2.4999999999999911E-2</v>
      </c>
      <c r="K103" s="23">
        <v>0.58472222222222214</v>
      </c>
      <c r="L103" s="30">
        <v>3.6805555555555536E-2</v>
      </c>
      <c r="M103" s="30">
        <v>0.1472222222222222</v>
      </c>
      <c r="N103" s="23">
        <v>0.1694444444444444</v>
      </c>
      <c r="O103" s="23">
        <v>0.3166666666666666</v>
      </c>
      <c r="P103"/>
    </row>
    <row r="104" spans="1:16" x14ac:dyDescent="0.35">
      <c r="B104" t="s">
        <v>88</v>
      </c>
      <c r="C104" s="28">
        <v>6</v>
      </c>
      <c r="D104" s="23">
        <v>0.58680555555555547</v>
      </c>
      <c r="E104" s="23">
        <v>6.9444444444444198E-3</v>
      </c>
      <c r="F104" s="23">
        <v>6.9444444444444441E-3</v>
      </c>
      <c r="G104" s="23">
        <v>4.2361111111111106E-2</v>
      </c>
      <c r="H104" s="23">
        <v>0.62916666666666654</v>
      </c>
      <c r="I104" s="23">
        <v>0</v>
      </c>
      <c r="J104" s="23"/>
      <c r="K104" s="23">
        <v>0.58680555555555547</v>
      </c>
      <c r="L104" s="30">
        <v>4.2361111111111072E-2</v>
      </c>
      <c r="M104" s="30">
        <v>0.12708333333333333</v>
      </c>
      <c r="N104" s="23">
        <v>0.18402777777777771</v>
      </c>
      <c r="O104" s="23">
        <v>0.31111111111111101</v>
      </c>
      <c r="P104"/>
    </row>
    <row r="105" spans="1:16" x14ac:dyDescent="0.35">
      <c r="B105" t="s">
        <v>96</v>
      </c>
      <c r="C105" s="28">
        <v>17</v>
      </c>
      <c r="D105" s="23">
        <v>0.59166666666666656</v>
      </c>
      <c r="E105" s="23">
        <v>6.9444444444444198E-3</v>
      </c>
      <c r="F105" s="23">
        <v>6.9444444444444441E-3</v>
      </c>
      <c r="G105" s="23">
        <v>3.6805555555555557E-2</v>
      </c>
      <c r="H105" s="23">
        <v>0.6284722222222221</v>
      </c>
      <c r="I105" s="23">
        <v>0</v>
      </c>
      <c r="J105" s="23">
        <v>2.4999999999999911E-2</v>
      </c>
      <c r="K105" s="23">
        <v>0.59166666666666656</v>
      </c>
      <c r="L105" s="30">
        <v>3.6805555555555536E-2</v>
      </c>
      <c r="M105" s="30">
        <v>7.3611111111111127E-2</v>
      </c>
      <c r="N105" s="23">
        <v>0.16944444444444429</v>
      </c>
      <c r="O105" s="23">
        <v>0.24305555555555541</v>
      </c>
      <c r="P105"/>
    </row>
    <row r="106" spans="1:16" x14ac:dyDescent="0.35">
      <c r="B106" t="s">
        <v>88</v>
      </c>
      <c r="C106" s="28">
        <v>1</v>
      </c>
      <c r="D106" s="23">
        <v>0.59375</v>
      </c>
      <c r="E106" s="23">
        <v>6.9444444444445308E-3</v>
      </c>
      <c r="F106" s="23">
        <v>6.9444444444444441E-3</v>
      </c>
      <c r="G106" s="23">
        <v>4.2361111111111106E-2</v>
      </c>
      <c r="H106" s="23">
        <v>0.63611111111111107</v>
      </c>
      <c r="I106" s="23">
        <v>0</v>
      </c>
      <c r="J106" s="23"/>
      <c r="K106" s="23">
        <v>0.59375</v>
      </c>
      <c r="L106" s="30">
        <v>4.2361111111111072E-2</v>
      </c>
      <c r="M106" s="30">
        <v>0.16944444444444445</v>
      </c>
      <c r="N106" s="23">
        <v>0.18402777777777768</v>
      </c>
      <c r="O106" s="23">
        <v>0.35347222222222213</v>
      </c>
      <c r="P106"/>
    </row>
    <row r="107" spans="1:16" x14ac:dyDescent="0.35">
      <c r="B107" t="s">
        <v>96</v>
      </c>
      <c r="C107" s="28">
        <v>18</v>
      </c>
      <c r="D107" s="23">
        <v>0.59861111111111098</v>
      </c>
      <c r="E107" s="23">
        <v>6.9444444444444198E-3</v>
      </c>
      <c r="F107" s="23">
        <v>6.9444444444444441E-3</v>
      </c>
      <c r="G107" s="23">
        <v>3.6805555555555557E-2</v>
      </c>
      <c r="H107" s="23">
        <v>0.63541666666666652</v>
      </c>
      <c r="I107" s="23">
        <v>0</v>
      </c>
      <c r="J107" s="23">
        <v>2.4999999999999911E-2</v>
      </c>
      <c r="K107" s="23">
        <v>0.59861111111111098</v>
      </c>
      <c r="L107" s="30">
        <v>3.6805555555555536E-2</v>
      </c>
      <c r="M107" s="30">
        <v>7.3611111111111072E-2</v>
      </c>
      <c r="N107" s="23">
        <v>0.16944444444444429</v>
      </c>
      <c r="O107" s="23">
        <v>0.24305555555555536</v>
      </c>
      <c r="P107"/>
    </row>
    <row r="108" spans="1:16" x14ac:dyDescent="0.35">
      <c r="B108" t="s">
        <v>88</v>
      </c>
      <c r="C108" s="28">
        <v>16</v>
      </c>
      <c r="D108" s="23">
        <v>0.60069444444444442</v>
      </c>
      <c r="E108" s="23">
        <v>6.9444444444444198E-3</v>
      </c>
      <c r="F108" s="23">
        <v>6.9444444444444441E-3</v>
      </c>
      <c r="G108" s="23">
        <v>4.2361111111111106E-2</v>
      </c>
      <c r="H108" s="23">
        <v>0.64305555555555549</v>
      </c>
      <c r="I108" s="23">
        <v>0</v>
      </c>
      <c r="J108" s="23"/>
      <c r="K108" s="23">
        <v>0.60069444444444442</v>
      </c>
      <c r="L108" s="30">
        <v>4.2361111111111072E-2</v>
      </c>
      <c r="M108" s="30">
        <v>8.4722222222222199E-2</v>
      </c>
      <c r="N108" s="23">
        <v>0.14722222222222214</v>
      </c>
      <c r="O108" s="23">
        <v>0.23194444444444434</v>
      </c>
      <c r="P108"/>
    </row>
    <row r="109" spans="1:16" x14ac:dyDescent="0.35">
      <c r="B109" t="s">
        <v>96</v>
      </c>
      <c r="C109" s="28">
        <v>7</v>
      </c>
      <c r="D109" s="23">
        <v>0.6055555555555554</v>
      </c>
      <c r="E109" s="23">
        <v>6.9444444444444198E-3</v>
      </c>
      <c r="F109" s="23">
        <v>6.9444444444444441E-3</v>
      </c>
      <c r="G109" s="23">
        <v>3.6805555555555557E-2</v>
      </c>
      <c r="H109" s="23">
        <v>0.64236111111111094</v>
      </c>
      <c r="I109" s="23">
        <v>0</v>
      </c>
      <c r="J109" s="23">
        <v>2.4999999999999911E-2</v>
      </c>
      <c r="K109" s="23">
        <v>0.6055555555555554</v>
      </c>
      <c r="L109" s="30">
        <v>3.6805555555555536E-2</v>
      </c>
      <c r="M109" s="30">
        <v>0.14722222222222217</v>
      </c>
      <c r="N109" s="23">
        <v>0.25416666666666654</v>
      </c>
      <c r="O109" s="23">
        <v>0.40138888888888868</v>
      </c>
      <c r="P109"/>
    </row>
    <row r="110" spans="1:16" x14ac:dyDescent="0.35">
      <c r="A110" t="s">
        <v>70</v>
      </c>
      <c r="B110" t="s">
        <v>88</v>
      </c>
      <c r="C110" s="28">
        <v>13</v>
      </c>
      <c r="D110" s="23">
        <v>0.60763888888888884</v>
      </c>
      <c r="E110" s="23">
        <v>6.9444444444444198E-3</v>
      </c>
      <c r="F110" s="23">
        <v>1.0416666666666666E-2</v>
      </c>
      <c r="G110" s="23">
        <v>4.2361111111111106E-2</v>
      </c>
      <c r="H110" s="23">
        <v>0.64999999999999991</v>
      </c>
      <c r="I110" s="23">
        <v>3.4722222222222099E-3</v>
      </c>
      <c r="J110" s="23"/>
      <c r="K110" s="23">
        <v>0.61111111111111105</v>
      </c>
      <c r="L110" s="30">
        <v>4.2361111111111072E-2</v>
      </c>
      <c r="M110" s="30">
        <v>0.1694444444444444</v>
      </c>
      <c r="N110" s="23">
        <v>0.22083333333333321</v>
      </c>
      <c r="O110" s="23">
        <v>0.39027777777777761</v>
      </c>
      <c r="P110"/>
    </row>
    <row r="111" spans="1:16" x14ac:dyDescent="0.35">
      <c r="B111" t="s">
        <v>96</v>
      </c>
      <c r="C111" s="28">
        <v>5</v>
      </c>
      <c r="D111" s="23">
        <v>0.61249999999999982</v>
      </c>
      <c r="E111" s="23">
        <v>6.9444444444444198E-3</v>
      </c>
      <c r="F111" s="23">
        <v>6.9444444444444441E-3</v>
      </c>
      <c r="G111" s="23">
        <v>3.6805555555555557E-2</v>
      </c>
      <c r="H111" s="23">
        <v>0.64930555555555536</v>
      </c>
      <c r="I111" s="23">
        <v>0</v>
      </c>
      <c r="J111" s="23">
        <v>2.4999999999999911E-2</v>
      </c>
      <c r="K111" s="23">
        <v>0.61249999999999982</v>
      </c>
      <c r="L111" s="30">
        <v>3.6805555555555536E-2</v>
      </c>
      <c r="M111" s="30">
        <v>0.18402777777777768</v>
      </c>
      <c r="N111" s="23">
        <v>0.1694444444444444</v>
      </c>
      <c r="O111" s="23">
        <v>0.35347222222222208</v>
      </c>
      <c r="P111"/>
    </row>
    <row r="112" spans="1:16" x14ac:dyDescent="0.35">
      <c r="B112" t="s">
        <v>88</v>
      </c>
      <c r="C112" s="28">
        <v>14</v>
      </c>
      <c r="D112" s="23">
        <v>0.61458333333333326</v>
      </c>
      <c r="E112" s="23">
        <v>6.9444444444444198E-3</v>
      </c>
      <c r="F112" s="23">
        <v>1.0416666666666666E-2</v>
      </c>
      <c r="G112" s="23">
        <v>4.2361111111111106E-2</v>
      </c>
      <c r="H112" s="23">
        <v>0.65694444444444433</v>
      </c>
      <c r="I112" s="23">
        <v>3.4722222222222099E-3</v>
      </c>
      <c r="J112" s="23"/>
      <c r="K112" s="23">
        <v>0.61805555555555547</v>
      </c>
      <c r="L112" s="30">
        <v>4.2361111111111072E-2</v>
      </c>
      <c r="M112" s="30">
        <v>0.1694444444444444</v>
      </c>
      <c r="N112" s="23">
        <v>0.22083333333333327</v>
      </c>
      <c r="O112" s="23">
        <v>0.39027777777777767</v>
      </c>
      <c r="P112"/>
    </row>
    <row r="113" spans="1:16" x14ac:dyDescent="0.35">
      <c r="B113" t="s">
        <v>96</v>
      </c>
      <c r="C113" s="28">
        <v>8</v>
      </c>
      <c r="D113" s="23">
        <v>0.61944444444444424</v>
      </c>
      <c r="E113" s="23">
        <v>6.9444444444444198E-3</v>
      </c>
      <c r="F113" s="23">
        <v>6.9444444444444441E-3</v>
      </c>
      <c r="G113" s="23">
        <v>3.6805555555555557E-2</v>
      </c>
      <c r="H113" s="23">
        <v>0.65624999999999978</v>
      </c>
      <c r="I113" s="23">
        <v>0</v>
      </c>
      <c r="J113" s="23">
        <v>2.49999999999998E-2</v>
      </c>
      <c r="K113" s="23">
        <v>0.61944444444444424</v>
      </c>
      <c r="L113" s="30">
        <v>3.6805555555555536E-2</v>
      </c>
      <c r="M113" s="30">
        <v>0.14722222222222214</v>
      </c>
      <c r="N113" s="23">
        <v>0.25416666666666654</v>
      </c>
      <c r="O113" s="23">
        <v>0.40138888888888868</v>
      </c>
      <c r="P113"/>
    </row>
    <row r="114" spans="1:16" x14ac:dyDescent="0.35">
      <c r="A114" t="s">
        <v>70</v>
      </c>
      <c r="B114" t="s">
        <v>88</v>
      </c>
      <c r="C114" s="28">
        <v>15</v>
      </c>
      <c r="D114" s="23">
        <v>0.62152777777777768</v>
      </c>
      <c r="E114" s="23">
        <v>6.9444444444444198E-3</v>
      </c>
      <c r="F114" s="23">
        <v>1.0416666666666666E-2</v>
      </c>
      <c r="G114" s="23">
        <v>4.2361111111111106E-2</v>
      </c>
      <c r="H114" s="23">
        <v>0.66388888888888875</v>
      </c>
      <c r="I114" s="23">
        <v>3.4722222222222099E-3</v>
      </c>
      <c r="J114" s="23"/>
      <c r="K114" s="23">
        <v>0.62499999999999989</v>
      </c>
      <c r="L114" s="30">
        <v>4.2361111111111072E-2</v>
      </c>
      <c r="M114" s="30">
        <v>0.1694444444444444</v>
      </c>
      <c r="N114" s="23">
        <v>0.1472222222222222</v>
      </c>
      <c r="O114" s="23">
        <v>0.3166666666666666</v>
      </c>
      <c r="P114"/>
    </row>
    <row r="115" spans="1:16" x14ac:dyDescent="0.35">
      <c r="A115" t="s">
        <v>63</v>
      </c>
      <c r="B115" t="s">
        <v>96</v>
      </c>
      <c r="C115" s="28">
        <v>2</v>
      </c>
      <c r="D115" s="23">
        <v>0.62638888888888866</v>
      </c>
      <c r="E115" s="23">
        <v>6.9444444444444198E-3</v>
      </c>
      <c r="F115" s="23">
        <v>6.9444444444444441E-3</v>
      </c>
      <c r="G115" s="23">
        <v>3.6805555555555557E-2</v>
      </c>
      <c r="H115" s="23">
        <v>0.6631944444444442</v>
      </c>
      <c r="I115" s="23">
        <v>0</v>
      </c>
      <c r="J115" s="23"/>
      <c r="K115" s="23">
        <v>0.62638888888888866</v>
      </c>
      <c r="L115" s="30">
        <v>3.6805555555555536E-2</v>
      </c>
      <c r="M115" s="30">
        <v>0.11041666666666661</v>
      </c>
      <c r="N115" s="23">
        <v>0.25416666666666654</v>
      </c>
      <c r="O115" s="23">
        <v>0.36458333333333315</v>
      </c>
      <c r="P115"/>
    </row>
    <row r="116" spans="1:16" x14ac:dyDescent="0.35">
      <c r="B116" t="s">
        <v>88</v>
      </c>
      <c r="C116" s="28">
        <v>17</v>
      </c>
      <c r="D116" s="23">
        <v>0.6284722222222221</v>
      </c>
      <c r="E116" s="23">
        <v>6.9444444444444198E-3</v>
      </c>
      <c r="F116" s="23">
        <v>1.0416666666666666E-2</v>
      </c>
      <c r="G116" s="23">
        <v>4.2361111111111106E-2</v>
      </c>
      <c r="H116" s="23">
        <v>0.67083333333333317</v>
      </c>
      <c r="I116" s="23">
        <v>3.4722222222222099E-3</v>
      </c>
      <c r="J116" s="23"/>
      <c r="K116" s="23">
        <v>0.63194444444444431</v>
      </c>
      <c r="L116" s="30">
        <v>4.2361111111111072E-2</v>
      </c>
      <c r="M116" s="30">
        <v>0.16944444444444429</v>
      </c>
      <c r="N116" s="23">
        <v>0.1472222222222222</v>
      </c>
      <c r="O116" s="23">
        <v>0.31666666666666649</v>
      </c>
      <c r="P116"/>
    </row>
    <row r="117" spans="1:16" x14ac:dyDescent="0.35">
      <c r="B117" t="s">
        <v>96</v>
      </c>
      <c r="C117" s="28">
        <v>6</v>
      </c>
      <c r="D117" s="23">
        <v>0.63333333333333308</v>
      </c>
      <c r="E117" s="23">
        <v>6.9444444444444198E-3</v>
      </c>
      <c r="F117" s="23">
        <v>6.9444444444444441E-3</v>
      </c>
      <c r="G117" s="23">
        <v>3.6805555555555557E-2</v>
      </c>
      <c r="H117" s="23">
        <v>0.67013888888888862</v>
      </c>
      <c r="I117" s="23">
        <v>0</v>
      </c>
      <c r="J117" s="23">
        <v>4.1666666666665408E-3</v>
      </c>
      <c r="K117" s="23">
        <v>0.63333333333333308</v>
      </c>
      <c r="L117" s="30">
        <v>3.6805555555555536E-2</v>
      </c>
      <c r="M117" s="30">
        <v>0.18402777777777771</v>
      </c>
      <c r="N117" s="23">
        <v>0.1694444444444444</v>
      </c>
      <c r="O117" s="23">
        <v>0.35347222222222208</v>
      </c>
      <c r="P117"/>
    </row>
    <row r="118" spans="1:16" x14ac:dyDescent="0.35">
      <c r="B118" t="s">
        <v>88</v>
      </c>
      <c r="C118" s="28">
        <v>18</v>
      </c>
      <c r="D118" s="23">
        <v>0.63541666666666652</v>
      </c>
      <c r="E118" s="23">
        <v>6.9444444444444198E-3</v>
      </c>
      <c r="F118" s="23">
        <v>1.0416666666666666E-2</v>
      </c>
      <c r="G118" s="23">
        <v>4.2361111111111106E-2</v>
      </c>
      <c r="H118" s="23">
        <v>0.67777777777777759</v>
      </c>
      <c r="I118" s="23">
        <v>3.4722222222222099E-3</v>
      </c>
      <c r="J118" s="23"/>
      <c r="K118" s="23">
        <v>0.63888888888888873</v>
      </c>
      <c r="L118" s="30">
        <v>4.2361111111111072E-2</v>
      </c>
      <c r="M118" s="30">
        <v>8.4722222222222143E-2</v>
      </c>
      <c r="N118" s="23">
        <v>0.18402777777777768</v>
      </c>
      <c r="O118" s="23">
        <v>0.26874999999999982</v>
      </c>
      <c r="P118"/>
    </row>
    <row r="119" spans="1:16" x14ac:dyDescent="0.35">
      <c r="B119" t="s">
        <v>96</v>
      </c>
      <c r="C119" s="28">
        <v>1</v>
      </c>
      <c r="D119" s="23">
        <v>0.6402777777777775</v>
      </c>
      <c r="E119" s="23">
        <v>6.9444444444444198E-3</v>
      </c>
      <c r="F119" s="23">
        <v>6.9444444444444441E-3</v>
      </c>
      <c r="G119" s="42">
        <v>3.6805555555555557E-2</v>
      </c>
      <c r="H119" s="23">
        <v>0.67708333333333304</v>
      </c>
      <c r="I119" s="23">
        <v>0</v>
      </c>
      <c r="J119" s="23">
        <v>4.1666666666664298E-3</v>
      </c>
      <c r="K119" s="23">
        <v>0.6402777777777775</v>
      </c>
      <c r="L119" s="30">
        <v>3.6805555555555536E-2</v>
      </c>
      <c r="M119" s="30">
        <v>0.14722222222222214</v>
      </c>
      <c r="N119" s="23">
        <v>0.2541666666666666</v>
      </c>
      <c r="O119" s="23">
        <v>0.40138888888888874</v>
      </c>
    </row>
    <row r="120" spans="1:16" x14ac:dyDescent="0.35">
      <c r="B120" t="s">
        <v>88</v>
      </c>
      <c r="C120" s="28">
        <v>7</v>
      </c>
      <c r="D120" s="23">
        <v>0.64236111111111094</v>
      </c>
      <c r="E120" s="23">
        <v>6.9444444444444198E-3</v>
      </c>
      <c r="F120" s="23">
        <v>1.0416666666666666E-2</v>
      </c>
      <c r="G120" s="23">
        <v>4.2361111111111106E-2</v>
      </c>
      <c r="H120" s="23">
        <v>0.68472222222222201</v>
      </c>
      <c r="I120" s="23">
        <v>3.4722222222222099E-3</v>
      </c>
      <c r="J120" s="23"/>
      <c r="K120" s="23">
        <v>0.64583333333333315</v>
      </c>
      <c r="L120" s="30">
        <v>4.2361111111111072E-2</v>
      </c>
      <c r="M120" s="30">
        <v>0.1694444444444444</v>
      </c>
      <c r="N120" s="23">
        <v>0.22083333333333324</v>
      </c>
      <c r="O120" s="23">
        <v>0.39027777777777761</v>
      </c>
    </row>
    <row r="121" spans="1:16" x14ac:dyDescent="0.35">
      <c r="B121" t="s">
        <v>96</v>
      </c>
      <c r="C121" s="28">
        <v>16</v>
      </c>
      <c r="D121" s="23">
        <v>0.64722222222222192</v>
      </c>
      <c r="E121" s="23">
        <v>6.9444444444444198E-3</v>
      </c>
      <c r="F121" s="23">
        <v>6.9444444444444441E-3</v>
      </c>
      <c r="G121" s="23">
        <v>3.6805555555555557E-2</v>
      </c>
      <c r="H121" s="23">
        <v>0.68402777777777746</v>
      </c>
      <c r="I121" s="23">
        <v>0</v>
      </c>
      <c r="J121" s="23">
        <v>4.1666666666664298E-3</v>
      </c>
      <c r="K121" s="23">
        <v>0.64722222222222192</v>
      </c>
      <c r="L121" s="30">
        <v>3.6805555555555536E-2</v>
      </c>
      <c r="M121" s="30">
        <v>0.11041666666666661</v>
      </c>
      <c r="N121" s="23">
        <v>0.16944444444444434</v>
      </c>
      <c r="O121" s="23">
        <v>0.27986111111111095</v>
      </c>
    </row>
    <row r="122" spans="1:16" x14ac:dyDescent="0.35">
      <c r="A122" t="s">
        <v>70</v>
      </c>
      <c r="B122" t="s">
        <v>88</v>
      </c>
      <c r="C122" s="28">
        <v>5</v>
      </c>
      <c r="D122" s="23">
        <v>0.64930555555555536</v>
      </c>
      <c r="E122" s="23">
        <v>6.9444444444444198E-3</v>
      </c>
      <c r="F122" s="23">
        <v>1.0416666666666666E-2</v>
      </c>
      <c r="G122" s="23">
        <v>4.2361111111111106E-2</v>
      </c>
      <c r="H122" s="23">
        <v>0.69166666666666643</v>
      </c>
      <c r="I122" s="23">
        <v>3.4722222222222099E-3</v>
      </c>
      <c r="J122" s="23"/>
      <c r="K122" s="23">
        <v>0.65277777777777757</v>
      </c>
      <c r="L122" s="30">
        <v>4.2361111111111072E-2</v>
      </c>
      <c r="M122" s="30">
        <v>0.1694444444444444</v>
      </c>
      <c r="N122" s="23">
        <v>0.18402777777777768</v>
      </c>
      <c r="O122" s="23">
        <v>0.35347222222222208</v>
      </c>
    </row>
    <row r="123" spans="1:16" x14ac:dyDescent="0.35">
      <c r="A123" t="s">
        <v>63</v>
      </c>
      <c r="B123" t="s">
        <v>96</v>
      </c>
      <c r="C123" s="28">
        <v>3</v>
      </c>
      <c r="D123" s="23">
        <v>0.65416666666666634</v>
      </c>
      <c r="E123" s="23">
        <v>6.9444444444444198E-3</v>
      </c>
      <c r="F123" s="23">
        <v>6.9444444444444441E-3</v>
      </c>
      <c r="G123" s="23">
        <v>3.5416666666666666E-2</v>
      </c>
      <c r="H123" s="23">
        <v>0.68958333333333299</v>
      </c>
      <c r="I123" s="23">
        <v>0</v>
      </c>
      <c r="J123" s="23">
        <v>4.1666666666663188E-3</v>
      </c>
      <c r="K123" s="23">
        <v>0.65416666666666634</v>
      </c>
      <c r="L123" s="30">
        <v>3.5416666666666652E-2</v>
      </c>
      <c r="M123" s="30">
        <v>0.10902777777777772</v>
      </c>
      <c r="N123" s="23">
        <v>0.25416666666666654</v>
      </c>
      <c r="O123" s="23">
        <v>0.36319444444444426</v>
      </c>
    </row>
    <row r="124" spans="1:16" x14ac:dyDescent="0.35">
      <c r="B124" t="s">
        <v>88</v>
      </c>
      <c r="C124" s="28">
        <v>8</v>
      </c>
      <c r="D124" s="23">
        <v>0.65624999999999978</v>
      </c>
      <c r="E124" s="23">
        <v>6.9444444444444198E-3</v>
      </c>
      <c r="F124" s="23">
        <v>1.0416666666666666E-2</v>
      </c>
      <c r="G124" s="23">
        <v>4.2361111111111106E-2</v>
      </c>
      <c r="H124" s="23">
        <v>0.69861111111111085</v>
      </c>
      <c r="I124" s="23">
        <v>3.4722222222222099E-3</v>
      </c>
      <c r="J124" s="23"/>
      <c r="K124" s="23">
        <v>0.65972222222222199</v>
      </c>
      <c r="L124" s="30">
        <v>4.2361111111111072E-2</v>
      </c>
      <c r="M124" s="30">
        <v>0.1694444444444444</v>
      </c>
      <c r="N124" s="23">
        <v>0.22083333333333321</v>
      </c>
      <c r="O124" s="23">
        <v>0.39027777777777761</v>
      </c>
    </row>
    <row r="125" spans="1:16" x14ac:dyDescent="0.35">
      <c r="A125" t="s">
        <v>63</v>
      </c>
      <c r="B125" t="s">
        <v>96</v>
      </c>
      <c r="C125" s="28">
        <v>4</v>
      </c>
      <c r="D125" s="23">
        <v>0.66111111111111076</v>
      </c>
      <c r="E125" s="23">
        <v>6.9444444444444198E-3</v>
      </c>
      <c r="F125" s="23">
        <v>6.9444444444444441E-3</v>
      </c>
      <c r="G125" s="23">
        <v>3.4027777777777775E-2</v>
      </c>
      <c r="H125" s="23">
        <v>0.69513888888888853</v>
      </c>
      <c r="I125" s="23">
        <v>0</v>
      </c>
      <c r="J125" s="23">
        <v>4.1666666666663188E-3</v>
      </c>
      <c r="K125" s="23">
        <v>0.66111111111111076</v>
      </c>
      <c r="L125" s="30">
        <v>3.4027777777777768E-2</v>
      </c>
      <c r="M125" s="30">
        <v>0.10763888888888884</v>
      </c>
      <c r="N125" s="23">
        <v>0.21180555555555552</v>
      </c>
      <c r="O125" s="23">
        <v>0.31944444444444436</v>
      </c>
    </row>
    <row r="126" spans="1:16" x14ac:dyDescent="0.35">
      <c r="B126" t="s">
        <v>88</v>
      </c>
      <c r="C126" s="28">
        <v>2</v>
      </c>
      <c r="D126" s="23">
        <v>0.6631944444444442</v>
      </c>
      <c r="E126" s="23">
        <v>6.9444444444444198E-3</v>
      </c>
      <c r="F126" s="23">
        <v>1.0416666666666666E-2</v>
      </c>
      <c r="G126" s="23">
        <v>4.2361111111111106E-2</v>
      </c>
      <c r="H126" s="23">
        <v>0.70555555555555527</v>
      </c>
      <c r="I126" s="23">
        <v>3.4722222222222099E-3</v>
      </c>
      <c r="J126" s="23"/>
      <c r="K126" s="23">
        <v>0.66666666666666641</v>
      </c>
      <c r="L126" s="30">
        <v>4.2361111111111072E-2</v>
      </c>
      <c r="M126" s="30">
        <v>0.16944444444444443</v>
      </c>
      <c r="N126" s="23">
        <v>0.18402777777777768</v>
      </c>
      <c r="O126" s="23">
        <v>0.35347222222222208</v>
      </c>
    </row>
    <row r="127" spans="1:16" x14ac:dyDescent="0.35">
      <c r="A127" t="s">
        <v>63</v>
      </c>
      <c r="B127" t="s">
        <v>96</v>
      </c>
      <c r="C127" s="28">
        <v>9</v>
      </c>
      <c r="D127" s="23">
        <v>0.66666666666666663</v>
      </c>
      <c r="E127" s="23">
        <v>5.5555555555558689E-3</v>
      </c>
      <c r="F127" s="23">
        <v>5.5555555555555558E-3</v>
      </c>
      <c r="G127" s="23">
        <v>3.6805555555555557E-2</v>
      </c>
      <c r="H127" s="23">
        <v>0.70347222222222217</v>
      </c>
      <c r="I127" s="23">
        <v>0</v>
      </c>
      <c r="J127" s="23"/>
      <c r="K127" s="23">
        <v>0.66666666666666663</v>
      </c>
      <c r="L127" s="30">
        <v>3.6805555555555536E-2</v>
      </c>
      <c r="M127" s="30">
        <v>0.14722222222222214</v>
      </c>
      <c r="N127" s="23">
        <v>0.2541666666666666</v>
      </c>
      <c r="O127" s="23">
        <v>0.40138888888888874</v>
      </c>
    </row>
    <row r="128" spans="1:16" x14ac:dyDescent="0.35">
      <c r="A128" t="s">
        <v>70</v>
      </c>
      <c r="B128" t="s">
        <v>88</v>
      </c>
      <c r="C128" s="28">
        <v>6</v>
      </c>
      <c r="D128" s="23">
        <v>0.67013888888888862</v>
      </c>
      <c r="E128" s="23">
        <v>6.9444444444444198E-3</v>
      </c>
      <c r="F128" s="23">
        <v>1.0416666666666666E-2</v>
      </c>
      <c r="G128" s="23">
        <v>4.2361111111111106E-2</v>
      </c>
      <c r="H128" s="23">
        <v>0.71249999999999969</v>
      </c>
      <c r="I128" s="23">
        <v>3.4722222222222099E-3</v>
      </c>
      <c r="J128" s="23"/>
      <c r="K128" s="23">
        <v>0.67361111111111083</v>
      </c>
      <c r="L128" s="30">
        <v>4.2361111111111072E-2</v>
      </c>
      <c r="M128" s="30">
        <v>0.1694444444444444</v>
      </c>
      <c r="N128" s="23">
        <v>0.18402777777777771</v>
      </c>
      <c r="O128" s="23">
        <v>0.35347222222222208</v>
      </c>
    </row>
    <row r="129" spans="1:15" x14ac:dyDescent="0.35">
      <c r="B129" t="s">
        <v>96</v>
      </c>
      <c r="C129" s="28">
        <v>17</v>
      </c>
      <c r="D129" s="23">
        <v>0.67222222222222217</v>
      </c>
      <c r="E129" s="23">
        <v>5.5555555555555358E-3</v>
      </c>
      <c r="F129" s="23">
        <v>5.5555555555555558E-3</v>
      </c>
      <c r="G129" s="23">
        <v>3.6805555555555557E-2</v>
      </c>
      <c r="H129" s="23">
        <v>0.7090277777777777</v>
      </c>
      <c r="I129" s="23">
        <v>0</v>
      </c>
      <c r="J129" s="23">
        <v>3.680555555555589E-2</v>
      </c>
      <c r="K129" s="23">
        <v>0.67222222222222217</v>
      </c>
      <c r="L129" s="30">
        <v>3.6805555555555536E-2</v>
      </c>
      <c r="M129" s="30">
        <v>0.11041666666666666</v>
      </c>
      <c r="N129" s="23">
        <v>0.16944444444444429</v>
      </c>
      <c r="O129" s="23">
        <v>0.27986111111111095</v>
      </c>
    </row>
    <row r="130" spans="1:15" x14ac:dyDescent="0.35">
      <c r="B130" t="s">
        <v>88</v>
      </c>
      <c r="C130" s="28">
        <v>1</v>
      </c>
      <c r="D130" s="23">
        <v>0.67708333333333304</v>
      </c>
      <c r="E130" s="23">
        <v>6.9444444444444198E-3</v>
      </c>
      <c r="F130" s="23">
        <v>1.0416666666666666E-2</v>
      </c>
      <c r="G130" s="23">
        <v>4.2361111111111106E-2</v>
      </c>
      <c r="H130" s="23">
        <v>0.71944444444444411</v>
      </c>
      <c r="I130" s="23">
        <v>3.4722222222222099E-3</v>
      </c>
      <c r="J130" s="23"/>
      <c r="K130" s="23">
        <v>0.68055555555555525</v>
      </c>
      <c r="L130" s="30">
        <v>4.2361111111111072E-2</v>
      </c>
      <c r="M130" s="30">
        <v>0.21180555555555552</v>
      </c>
      <c r="N130" s="23">
        <v>0.18402777777777768</v>
      </c>
      <c r="O130" s="23">
        <v>0.3958333333333332</v>
      </c>
    </row>
    <row r="131" spans="1:15" x14ac:dyDescent="0.35">
      <c r="B131" t="s">
        <v>96</v>
      </c>
      <c r="C131" s="28">
        <v>18</v>
      </c>
      <c r="D131" s="23">
        <v>0.67777777777777759</v>
      </c>
      <c r="E131" s="23">
        <v>5.5555555555554248E-3</v>
      </c>
      <c r="F131" s="23">
        <v>5.5555555555555558E-3</v>
      </c>
      <c r="G131" s="23">
        <v>3.6805555555555557E-2</v>
      </c>
      <c r="H131" s="23">
        <v>0.71458333333333313</v>
      </c>
      <c r="I131" s="23">
        <v>0</v>
      </c>
      <c r="J131" s="23"/>
      <c r="K131" s="23">
        <v>0.67777777777777759</v>
      </c>
      <c r="L131" s="30">
        <v>3.6805555555555536E-2</v>
      </c>
      <c r="M131" s="30">
        <v>0.11041666666666661</v>
      </c>
      <c r="N131" s="23">
        <v>0.16944444444444429</v>
      </c>
      <c r="O131" s="23">
        <v>0.27986111111111089</v>
      </c>
    </row>
    <row r="132" spans="1:15" x14ac:dyDescent="0.35">
      <c r="A132" t="s">
        <v>63</v>
      </c>
      <c r="B132" t="s">
        <v>96</v>
      </c>
      <c r="C132" s="28">
        <v>10</v>
      </c>
      <c r="D132" s="23">
        <v>0.68333333333333324</v>
      </c>
      <c r="E132" s="23">
        <v>5.5555555555556468E-3</v>
      </c>
      <c r="F132" s="23">
        <v>5.5555555555555558E-3</v>
      </c>
      <c r="G132" s="23">
        <v>3.6805555555555557E-2</v>
      </c>
      <c r="H132" s="23">
        <v>0.72013888888888877</v>
      </c>
      <c r="I132" s="23">
        <v>0</v>
      </c>
      <c r="J132" s="23"/>
      <c r="K132" s="23">
        <v>0.68333333333333324</v>
      </c>
      <c r="L132" s="30">
        <v>3.6805555555555536E-2</v>
      </c>
      <c r="M132" s="30">
        <v>0.14722222222222214</v>
      </c>
      <c r="N132" s="23">
        <v>0.2541666666666666</v>
      </c>
      <c r="O132" s="23">
        <v>0.40138888888888874</v>
      </c>
    </row>
    <row r="133" spans="1:15" x14ac:dyDescent="0.35">
      <c r="B133" t="s">
        <v>88</v>
      </c>
      <c r="C133" s="28">
        <v>16</v>
      </c>
      <c r="D133" s="23">
        <v>0.68402777777777746</v>
      </c>
      <c r="E133" s="23">
        <v>6.9444444444444198E-3</v>
      </c>
      <c r="F133" s="23">
        <v>1.0416666666666666E-2</v>
      </c>
      <c r="G133" s="23">
        <v>4.2361111111111106E-2</v>
      </c>
      <c r="H133" s="23">
        <v>0.72638888888888853</v>
      </c>
      <c r="I133" s="23">
        <v>3.4722222222222099E-3</v>
      </c>
      <c r="J133" s="23"/>
      <c r="K133" s="23">
        <v>0.68749999999999967</v>
      </c>
      <c r="L133" s="30">
        <v>4.2361111111111072E-2</v>
      </c>
      <c r="M133" s="30">
        <v>0.12708333333333327</v>
      </c>
      <c r="N133" s="23">
        <v>0.14722222222222214</v>
      </c>
      <c r="O133" s="23">
        <v>0.27430555555555541</v>
      </c>
    </row>
    <row r="134" spans="1:15" x14ac:dyDescent="0.35">
      <c r="B134" t="s">
        <v>96</v>
      </c>
      <c r="C134" s="28">
        <v>7</v>
      </c>
      <c r="D134" s="23">
        <v>0.68888888888888877</v>
      </c>
      <c r="E134" s="23">
        <v>5.5555555555555358E-3</v>
      </c>
      <c r="F134" s="23">
        <v>5.5555555555555558E-3</v>
      </c>
      <c r="G134" s="23">
        <v>3.6805555555555557E-2</v>
      </c>
      <c r="H134" s="23">
        <v>0.72569444444444431</v>
      </c>
      <c r="I134" s="23">
        <v>0</v>
      </c>
      <c r="J134" s="23">
        <v>4.1666666666667629E-3</v>
      </c>
      <c r="K134" s="23">
        <v>0.68888888888888877</v>
      </c>
      <c r="L134" s="30">
        <v>3.6805555555555536E-2</v>
      </c>
      <c r="M134" s="30">
        <v>0.18402777777777771</v>
      </c>
      <c r="N134" s="23">
        <v>0.25416666666666654</v>
      </c>
      <c r="O134" s="23">
        <v>0.43819444444444422</v>
      </c>
    </row>
    <row r="135" spans="1:15" x14ac:dyDescent="0.35">
      <c r="B135" t="s">
        <v>88</v>
      </c>
      <c r="C135" s="28">
        <v>3</v>
      </c>
      <c r="D135" s="23">
        <v>0.68958333333333299</v>
      </c>
      <c r="E135" s="23">
        <v>5.5555555555555358E-3</v>
      </c>
      <c r="F135" s="23">
        <v>5.5555555555555558E-3</v>
      </c>
      <c r="G135" s="23">
        <v>4.2361111111111106E-2</v>
      </c>
      <c r="H135" s="23">
        <v>0.73194444444444406</v>
      </c>
      <c r="I135" s="23">
        <v>0</v>
      </c>
      <c r="J135" s="23"/>
      <c r="K135" s="23">
        <v>0.68958333333333299</v>
      </c>
      <c r="L135" s="30">
        <v>4.2361111111111072E-2</v>
      </c>
      <c r="M135" s="30">
        <v>0.16944444444444443</v>
      </c>
      <c r="N135" s="23">
        <v>0.1826388888888888</v>
      </c>
      <c r="O135" s="23">
        <v>0.35208333333333319</v>
      </c>
    </row>
    <row r="136" spans="1:15" x14ac:dyDescent="0.35">
      <c r="A136" t="s">
        <v>63</v>
      </c>
      <c r="B136" t="s">
        <v>96</v>
      </c>
      <c r="C136" s="28">
        <v>11</v>
      </c>
      <c r="D136" s="23">
        <v>0.69444444444444431</v>
      </c>
      <c r="E136" s="23">
        <v>5.5555555555555358E-3</v>
      </c>
      <c r="F136" s="23">
        <v>5.5555555555555558E-3</v>
      </c>
      <c r="G136" s="42">
        <v>3.6805555555555557E-2</v>
      </c>
      <c r="H136" s="23">
        <v>0.73124999999999984</v>
      </c>
      <c r="I136" s="23">
        <v>0</v>
      </c>
      <c r="J136" s="23">
        <v>2.7777777777778789E-3</v>
      </c>
      <c r="K136" s="23">
        <v>0.69444444444444431</v>
      </c>
      <c r="L136" s="30">
        <v>3.6805555555555536E-2</v>
      </c>
      <c r="M136" s="30">
        <v>0.14722222222222214</v>
      </c>
      <c r="N136" s="23">
        <v>0.25416666666666654</v>
      </c>
      <c r="O136" s="23">
        <v>0.40138888888888868</v>
      </c>
    </row>
    <row r="137" spans="1:15" x14ac:dyDescent="0.35">
      <c r="B137" t="s">
        <v>88</v>
      </c>
      <c r="C137" s="28">
        <v>4</v>
      </c>
      <c r="D137" s="23">
        <v>0.69513888888888853</v>
      </c>
      <c r="E137" s="23">
        <v>5.5555555555555358E-3</v>
      </c>
      <c r="F137" s="23">
        <v>5.5555555555555558E-3</v>
      </c>
      <c r="G137" s="23">
        <v>4.2361111111111106E-2</v>
      </c>
      <c r="H137" s="23">
        <v>0.7374999999999996</v>
      </c>
      <c r="I137" s="23">
        <v>0</v>
      </c>
      <c r="J137" s="23"/>
      <c r="K137" s="23">
        <v>0.69513888888888853</v>
      </c>
      <c r="L137" s="30">
        <v>4.2361111111111072E-2</v>
      </c>
      <c r="M137" s="30">
        <v>0.21180555555555552</v>
      </c>
      <c r="N137" s="23">
        <v>0.14444444444444438</v>
      </c>
      <c r="O137" s="23">
        <v>0.3562499999999999</v>
      </c>
    </row>
    <row r="138" spans="1:15" x14ac:dyDescent="0.35">
      <c r="B138" t="s">
        <v>96</v>
      </c>
      <c r="C138" s="28">
        <v>8</v>
      </c>
      <c r="D138" s="23">
        <v>0.69999999999999984</v>
      </c>
      <c r="E138" s="23">
        <v>5.5555555555555358E-3</v>
      </c>
      <c r="F138" s="23">
        <v>5.5555555555555558E-3</v>
      </c>
      <c r="G138" s="23">
        <v>3.6805555555555557E-2</v>
      </c>
      <c r="H138" s="23">
        <v>0.73680555555555538</v>
      </c>
      <c r="I138" s="23">
        <v>0</v>
      </c>
      <c r="J138" s="23">
        <v>1.388888888888995E-3</v>
      </c>
      <c r="K138" s="23">
        <v>0.69999999999999984</v>
      </c>
      <c r="L138" s="30">
        <v>3.6805555555555536E-2</v>
      </c>
      <c r="M138" s="30">
        <v>0.18402777777777768</v>
      </c>
      <c r="N138" s="23">
        <v>0.25416666666666654</v>
      </c>
      <c r="O138" s="23">
        <v>0.43819444444444422</v>
      </c>
    </row>
    <row r="139" spans="1:15" x14ac:dyDescent="0.35">
      <c r="B139" t="s">
        <v>88</v>
      </c>
      <c r="C139" s="28">
        <v>14</v>
      </c>
      <c r="D139" s="23">
        <v>0.7006944444444444</v>
      </c>
      <c r="E139" s="23">
        <v>5.5555555555558689E-3</v>
      </c>
      <c r="F139" s="23">
        <v>5.5555555555555558E-3</v>
      </c>
      <c r="G139" s="23">
        <v>4.2361111111111106E-2</v>
      </c>
      <c r="H139" s="23">
        <v>0.74305555555555547</v>
      </c>
      <c r="I139" s="23">
        <v>0</v>
      </c>
      <c r="J139" s="23"/>
      <c r="K139" s="23">
        <v>0.7006944444444444</v>
      </c>
      <c r="L139" s="30">
        <v>4.2361111111111072E-2</v>
      </c>
      <c r="M139" s="30">
        <v>0.21180555555555547</v>
      </c>
      <c r="N139" s="23">
        <v>0.22083333333333327</v>
      </c>
      <c r="O139" s="23">
        <v>0.43263888888888874</v>
      </c>
    </row>
    <row r="140" spans="1:15" x14ac:dyDescent="0.35">
      <c r="B140" t="s">
        <v>88</v>
      </c>
      <c r="C140" s="28">
        <v>9</v>
      </c>
      <c r="D140" s="23">
        <v>0.70347222222222217</v>
      </c>
      <c r="E140" s="23">
        <v>2.7777777777777679E-3</v>
      </c>
      <c r="F140" s="23">
        <v>5.5555555555555558E-3</v>
      </c>
      <c r="G140" s="23">
        <v>4.2361111111111106E-2</v>
      </c>
      <c r="H140" s="23">
        <v>0.74583333333333324</v>
      </c>
      <c r="I140" s="23">
        <v>2.7777777777777679E-3</v>
      </c>
      <c r="J140" s="23"/>
      <c r="K140" s="23">
        <v>0.70624999999999993</v>
      </c>
      <c r="L140" s="30">
        <v>4.2361111111111072E-2</v>
      </c>
      <c r="M140" s="30">
        <v>0.21180555555555552</v>
      </c>
      <c r="N140" s="23">
        <v>0.18402777777777768</v>
      </c>
      <c r="O140" s="23">
        <v>0.3958333333333332</v>
      </c>
    </row>
    <row r="141" spans="1:15" x14ac:dyDescent="0.35">
      <c r="B141" t="s">
        <v>96</v>
      </c>
      <c r="C141" s="28">
        <v>2</v>
      </c>
      <c r="D141" s="23">
        <v>0.70555555555555527</v>
      </c>
      <c r="E141" s="23">
        <v>5.5555555555554248E-3</v>
      </c>
      <c r="F141" s="23">
        <v>5.5555555555555558E-3</v>
      </c>
      <c r="G141" s="23">
        <v>3.6805555555555557E-2</v>
      </c>
      <c r="H141" s="23">
        <v>0.74236111111111081</v>
      </c>
      <c r="I141" s="23">
        <v>0</v>
      </c>
      <c r="J141" s="23"/>
      <c r="K141" s="23">
        <v>0.70555555555555527</v>
      </c>
      <c r="L141" s="30">
        <v>3.6805555555555536E-2</v>
      </c>
      <c r="M141" s="30">
        <v>0.14722222222222214</v>
      </c>
      <c r="N141" s="23">
        <v>0.25416666666666654</v>
      </c>
      <c r="O141" s="23">
        <v>0.40138888888888868</v>
      </c>
    </row>
    <row r="142" spans="1:15" x14ac:dyDescent="0.35">
      <c r="B142" t="s">
        <v>88</v>
      </c>
      <c r="C142" s="28">
        <v>17</v>
      </c>
      <c r="D142" s="23">
        <v>0.7090277777777777</v>
      </c>
      <c r="E142" s="23">
        <v>5.5555555555555358E-3</v>
      </c>
      <c r="F142" s="23">
        <v>5.5555555555555558E-3</v>
      </c>
      <c r="G142" s="23">
        <v>4.2361111111111106E-2</v>
      </c>
      <c r="H142" s="23">
        <v>0.75138888888888877</v>
      </c>
      <c r="I142" s="23">
        <v>0</v>
      </c>
      <c r="J142" s="23"/>
      <c r="K142" s="23">
        <v>0.7090277777777777</v>
      </c>
      <c r="L142" s="30">
        <v>4.2361111111111072E-2</v>
      </c>
      <c r="M142" s="30">
        <v>0.12708333333333321</v>
      </c>
      <c r="N142" s="23">
        <v>0.1472222222222222</v>
      </c>
      <c r="O142" s="23">
        <v>0.27430555555555541</v>
      </c>
    </row>
    <row r="143" spans="1:15" x14ac:dyDescent="0.35">
      <c r="A143" t="s">
        <v>63</v>
      </c>
      <c r="B143" t="s">
        <v>96</v>
      </c>
      <c r="C143" s="28">
        <v>12</v>
      </c>
      <c r="D143" s="23">
        <v>0.71111111111111114</v>
      </c>
      <c r="E143" s="23">
        <v>5.5555555555558689E-3</v>
      </c>
      <c r="F143" s="23">
        <v>5.5555555555555558E-3</v>
      </c>
      <c r="G143" s="23">
        <v>3.6805555555555557E-2</v>
      </c>
      <c r="H143" s="23">
        <v>0.74791666666666667</v>
      </c>
      <c r="I143" s="23">
        <v>0</v>
      </c>
      <c r="J143" s="23"/>
      <c r="K143" s="23">
        <v>0.71111111111111114</v>
      </c>
      <c r="L143" s="30">
        <v>3.6805555555555536E-2</v>
      </c>
      <c r="M143" s="30">
        <v>0.14722222222222214</v>
      </c>
      <c r="N143" s="23">
        <v>0.2541666666666666</v>
      </c>
      <c r="O143" s="23">
        <v>0.40138888888888874</v>
      </c>
    </row>
    <row r="144" spans="1:15" x14ac:dyDescent="0.35">
      <c r="B144" t="s">
        <v>88</v>
      </c>
      <c r="C144" s="28">
        <v>18</v>
      </c>
      <c r="D144" s="23">
        <v>0.71458333333333313</v>
      </c>
      <c r="E144" s="23">
        <v>5.5555555555554248E-3</v>
      </c>
      <c r="F144" s="23">
        <v>5.5555555555555558E-3</v>
      </c>
      <c r="G144" s="23">
        <v>4.2361111111111106E-2</v>
      </c>
      <c r="H144" s="23">
        <v>0.7569444444444442</v>
      </c>
      <c r="I144" s="23">
        <v>0</v>
      </c>
      <c r="J144" s="23"/>
      <c r="K144" s="23">
        <v>0.71458333333333313</v>
      </c>
      <c r="L144" s="30">
        <v>4.2361111111111072E-2</v>
      </c>
      <c r="M144" s="30">
        <v>0.12708333333333321</v>
      </c>
      <c r="N144" s="23">
        <v>0.18402777777777768</v>
      </c>
      <c r="O144" s="23">
        <v>0.31111111111111089</v>
      </c>
    </row>
    <row r="145" spans="1:15" x14ac:dyDescent="0.35">
      <c r="A145" t="s">
        <v>63</v>
      </c>
      <c r="B145" t="s">
        <v>96</v>
      </c>
      <c r="C145" s="28">
        <v>13</v>
      </c>
      <c r="D145" s="23">
        <v>0.71666666666666667</v>
      </c>
      <c r="E145" s="23">
        <v>5.5555555555555358E-3</v>
      </c>
      <c r="F145" s="23">
        <v>5.5555555555555558E-3</v>
      </c>
      <c r="G145" s="23">
        <v>3.6805555555555557E-2</v>
      </c>
      <c r="H145" s="23">
        <v>0.75347222222222221</v>
      </c>
      <c r="I145" s="23">
        <v>0</v>
      </c>
      <c r="J145" s="23"/>
      <c r="K145" s="23">
        <v>0.71666666666666667</v>
      </c>
      <c r="L145" s="30">
        <v>3.6805555555555536E-2</v>
      </c>
      <c r="M145" s="30">
        <v>0.18402777777777768</v>
      </c>
      <c r="N145" s="23">
        <v>0.25416666666666654</v>
      </c>
      <c r="O145" s="23">
        <v>0.43819444444444422</v>
      </c>
    </row>
    <row r="146" spans="1:15" x14ac:dyDescent="0.35">
      <c r="B146" t="s">
        <v>88</v>
      </c>
      <c r="C146" s="28">
        <v>10</v>
      </c>
      <c r="D146" s="23">
        <v>0.72013888888888877</v>
      </c>
      <c r="E146" s="23">
        <v>5.5555555555556468E-3</v>
      </c>
      <c r="F146" s="23">
        <v>5.5555555555555558E-3</v>
      </c>
      <c r="G146" s="23">
        <v>4.2361111111111106E-2</v>
      </c>
      <c r="H146" s="23">
        <v>0.76249999999999984</v>
      </c>
      <c r="I146" s="23">
        <v>0</v>
      </c>
      <c r="J146" s="23"/>
      <c r="K146" s="23">
        <v>0.72013888888888877</v>
      </c>
      <c r="L146" s="30">
        <v>4.2361111111111072E-2</v>
      </c>
      <c r="M146" s="30">
        <v>0.21180555555555552</v>
      </c>
      <c r="N146" s="23">
        <v>0.18402777777777768</v>
      </c>
      <c r="O146" s="23">
        <v>0.3958333333333332</v>
      </c>
    </row>
    <row r="147" spans="1:15" x14ac:dyDescent="0.35">
      <c r="B147" t="s">
        <v>96</v>
      </c>
      <c r="C147" s="28">
        <v>1</v>
      </c>
      <c r="D147" s="23">
        <v>0.72222222222222221</v>
      </c>
      <c r="E147" s="23">
        <v>5.5555555555555358E-3</v>
      </c>
      <c r="F147" s="23">
        <v>5.5555555555555558E-3</v>
      </c>
      <c r="G147" s="23">
        <v>3.6805555555555557E-2</v>
      </c>
      <c r="H147" s="23">
        <v>0.75902777777777775</v>
      </c>
      <c r="I147" s="23">
        <v>0</v>
      </c>
      <c r="J147" s="23">
        <v>2.777777777778101E-3</v>
      </c>
      <c r="K147" s="23">
        <v>0.72222222222222221</v>
      </c>
      <c r="L147" s="30">
        <v>3.6805555555555536E-2</v>
      </c>
      <c r="M147" s="30">
        <v>0.18402777777777768</v>
      </c>
      <c r="N147" s="23">
        <v>0.2541666666666666</v>
      </c>
      <c r="O147" s="23">
        <v>0.43819444444444428</v>
      </c>
    </row>
    <row r="148" spans="1:15" x14ac:dyDescent="0.35">
      <c r="B148" t="s">
        <v>88</v>
      </c>
      <c r="C148" s="28">
        <v>7</v>
      </c>
      <c r="D148" s="23">
        <v>0.72569444444444431</v>
      </c>
      <c r="E148" s="23">
        <v>5.5555555555555358E-3</v>
      </c>
      <c r="F148" s="23">
        <v>5.5555555555555558E-3</v>
      </c>
      <c r="G148" s="23">
        <v>4.2361111111111106E-2</v>
      </c>
      <c r="H148" s="23">
        <v>0.76805555555555538</v>
      </c>
      <c r="I148" s="23">
        <v>0</v>
      </c>
      <c r="J148" s="23"/>
      <c r="K148" s="23">
        <v>0.72569444444444431</v>
      </c>
      <c r="L148" s="30">
        <v>4.2361111111111072E-2</v>
      </c>
      <c r="M148" s="30">
        <v>0.21180555555555547</v>
      </c>
      <c r="N148" s="23">
        <v>0.22083333333333324</v>
      </c>
      <c r="O148" s="23">
        <v>0.43263888888888868</v>
      </c>
    </row>
    <row r="149" spans="1:15" x14ac:dyDescent="0.35">
      <c r="B149" t="s">
        <v>96</v>
      </c>
      <c r="C149" s="28">
        <v>16</v>
      </c>
      <c r="D149" s="23">
        <v>0.72638888888888853</v>
      </c>
      <c r="E149" s="23">
        <v>4.1666666666663188E-3</v>
      </c>
      <c r="F149" s="23">
        <v>5.5555555555555558E-3</v>
      </c>
      <c r="G149" s="23">
        <v>3.6805555555555557E-2</v>
      </c>
      <c r="H149" s="23">
        <v>0.76319444444444406</v>
      </c>
      <c r="I149" s="23">
        <v>1.388888888889217E-3</v>
      </c>
      <c r="J149" s="23"/>
      <c r="K149" s="23">
        <v>0.72777777777777775</v>
      </c>
      <c r="L149" s="30">
        <v>3.6805555555555536E-2</v>
      </c>
      <c r="M149" s="30">
        <v>0.14722222222222214</v>
      </c>
      <c r="N149" s="23">
        <v>0.16944444444444434</v>
      </c>
      <c r="O149" s="23">
        <v>0.31666666666666649</v>
      </c>
    </row>
    <row r="150" spans="1:15" x14ac:dyDescent="0.35">
      <c r="B150" t="s">
        <v>88</v>
      </c>
      <c r="C150" s="28">
        <v>11</v>
      </c>
      <c r="D150" s="23">
        <v>0.73124999999999984</v>
      </c>
      <c r="E150" s="23">
        <v>5.5555555555555358E-3</v>
      </c>
      <c r="F150" s="23">
        <v>5.5555555555555558E-3</v>
      </c>
      <c r="G150" s="23">
        <v>4.2361111111111106E-2</v>
      </c>
      <c r="H150" s="23">
        <v>0.77361111111111092</v>
      </c>
      <c r="I150" s="23">
        <v>0</v>
      </c>
      <c r="J150" s="23"/>
      <c r="K150" s="23">
        <v>0.73124999999999984</v>
      </c>
      <c r="L150" s="30">
        <v>4.2361111111111072E-2</v>
      </c>
      <c r="M150" s="30">
        <v>0.21180555555555547</v>
      </c>
      <c r="N150" s="23">
        <v>0.22083333333333321</v>
      </c>
      <c r="O150" s="23">
        <v>0.43263888888888868</v>
      </c>
    </row>
    <row r="151" spans="1:15" x14ac:dyDescent="0.35">
      <c r="B151" t="s">
        <v>96</v>
      </c>
      <c r="C151" s="28">
        <v>3</v>
      </c>
      <c r="D151" s="23">
        <v>0.73194444444444406</v>
      </c>
      <c r="E151" s="23">
        <v>5.5555555555555358E-3</v>
      </c>
      <c r="F151" s="23">
        <v>5.5555555555555558E-3</v>
      </c>
      <c r="G151" s="23">
        <v>3.6805555555555557E-2</v>
      </c>
      <c r="H151" s="23">
        <v>0.7687499999999996</v>
      </c>
      <c r="I151" s="23">
        <v>0</v>
      </c>
      <c r="J151" s="23"/>
      <c r="K151" s="23">
        <v>0.73194444444444406</v>
      </c>
      <c r="L151" s="30">
        <v>3.6805555555555536E-2</v>
      </c>
      <c r="M151" s="30">
        <v>0.14583333333333326</v>
      </c>
      <c r="N151" s="23">
        <v>0.25416666666666654</v>
      </c>
      <c r="O151" s="23">
        <v>0.3999999999999998</v>
      </c>
    </row>
    <row r="152" spans="1:15" x14ac:dyDescent="0.35">
      <c r="B152" t="s">
        <v>88</v>
      </c>
      <c r="C152" s="28">
        <v>8</v>
      </c>
      <c r="D152" s="23">
        <v>0.73680555555555538</v>
      </c>
      <c r="E152" s="23">
        <v>5.5555555555555358E-3</v>
      </c>
      <c r="F152" s="23">
        <v>5.5555555555555558E-3</v>
      </c>
      <c r="G152" s="23">
        <v>4.2361111111111106E-2</v>
      </c>
      <c r="H152" s="23">
        <v>0.77916666666666645</v>
      </c>
      <c r="I152" s="23">
        <v>0</v>
      </c>
      <c r="J152" s="23"/>
      <c r="K152" s="23">
        <v>0.73680555555555538</v>
      </c>
      <c r="L152" s="30">
        <v>4.2361111111111072E-2</v>
      </c>
      <c r="M152" s="30">
        <v>0.21180555555555547</v>
      </c>
      <c r="N152" s="23">
        <v>0.22083333333333321</v>
      </c>
      <c r="O152" s="23">
        <v>0.43263888888888868</v>
      </c>
    </row>
    <row r="153" spans="1:15" x14ac:dyDescent="0.35">
      <c r="B153" t="s">
        <v>96</v>
      </c>
      <c r="C153" s="28">
        <v>4</v>
      </c>
      <c r="D153" s="23">
        <v>0.7374999999999996</v>
      </c>
      <c r="E153" s="23">
        <v>5.5555555555555358E-3</v>
      </c>
      <c r="F153" s="23">
        <v>5.5555555555555558E-3</v>
      </c>
      <c r="G153" s="23">
        <v>3.6805555555555557E-2</v>
      </c>
      <c r="H153" s="23">
        <v>0.77430555555555514</v>
      </c>
      <c r="I153" s="23">
        <v>0</v>
      </c>
      <c r="J153" s="23"/>
      <c r="K153" s="23">
        <v>0.7374999999999996</v>
      </c>
      <c r="L153" s="30">
        <v>3.6805555555555536E-2</v>
      </c>
      <c r="M153" s="30">
        <v>0.14444444444444438</v>
      </c>
      <c r="N153" s="23">
        <v>0.21180555555555552</v>
      </c>
      <c r="O153" s="23">
        <v>0.3562499999999999</v>
      </c>
    </row>
    <row r="154" spans="1:15" x14ac:dyDescent="0.35">
      <c r="B154" t="s">
        <v>88</v>
      </c>
      <c r="C154" s="28">
        <v>2</v>
      </c>
      <c r="D154" s="23">
        <v>0.74236111111111081</v>
      </c>
      <c r="E154" s="23">
        <v>5.5555555555554248E-3</v>
      </c>
      <c r="F154" s="23">
        <v>5.5555555555555558E-3</v>
      </c>
      <c r="G154" s="23">
        <v>4.2361111111111106E-2</v>
      </c>
      <c r="H154" s="23">
        <v>0.78472222222222188</v>
      </c>
      <c r="I154" s="23">
        <v>0</v>
      </c>
      <c r="J154" s="23"/>
      <c r="K154" s="23">
        <v>0.74236111111111081</v>
      </c>
      <c r="L154" s="30">
        <v>4.2361111111111072E-2</v>
      </c>
      <c r="M154" s="30">
        <v>0.2118055555555555</v>
      </c>
      <c r="N154" s="23">
        <v>0.18402777777777768</v>
      </c>
      <c r="O154" s="23">
        <v>0.39583333333333315</v>
      </c>
    </row>
    <row r="155" spans="1:15" x14ac:dyDescent="0.35">
      <c r="B155" t="s">
        <v>96</v>
      </c>
      <c r="C155" s="28">
        <v>14</v>
      </c>
      <c r="D155" s="23">
        <v>0.74305555555555547</v>
      </c>
      <c r="E155" s="23">
        <v>5.5555555555558689E-3</v>
      </c>
      <c r="F155" s="23">
        <v>5.5555555555555558E-3</v>
      </c>
      <c r="G155" s="23">
        <v>3.6805555555555557E-2</v>
      </c>
      <c r="H155" s="23">
        <v>0.77986111111111101</v>
      </c>
      <c r="I155" s="23">
        <v>0</v>
      </c>
      <c r="J155" s="23"/>
      <c r="K155" s="23">
        <v>0.74305555555555547</v>
      </c>
      <c r="L155" s="30">
        <v>3.6805555555555536E-2</v>
      </c>
      <c r="M155" s="30">
        <v>0.18402777777777773</v>
      </c>
      <c r="N155" s="23">
        <v>0.25416666666666654</v>
      </c>
      <c r="O155" s="23">
        <v>0.43819444444444428</v>
      </c>
    </row>
    <row r="156" spans="1:15" x14ac:dyDescent="0.35">
      <c r="B156" t="s">
        <v>88</v>
      </c>
      <c r="C156" s="28">
        <v>12</v>
      </c>
      <c r="D156" s="23">
        <v>0.74791666666666667</v>
      </c>
      <c r="E156" s="23">
        <v>5.5555555555558689E-3</v>
      </c>
      <c r="F156" s="23">
        <v>5.5555555555555558E-3</v>
      </c>
      <c r="G156" s="23">
        <v>4.2361111111111106E-2</v>
      </c>
      <c r="H156" s="23">
        <v>0.79027777777777775</v>
      </c>
      <c r="I156" s="23">
        <v>0</v>
      </c>
      <c r="J156" s="23"/>
      <c r="K156" s="23">
        <v>0.74791666666666667</v>
      </c>
      <c r="L156" s="30">
        <v>4.2361111111111072E-2</v>
      </c>
      <c r="M156" s="30">
        <v>0.21180555555555552</v>
      </c>
      <c r="N156" s="23">
        <v>0.22083333333333321</v>
      </c>
      <c r="O156" s="23">
        <v>0.43263888888888874</v>
      </c>
    </row>
    <row r="157" spans="1:15" x14ac:dyDescent="0.35">
      <c r="B157" t="s">
        <v>96</v>
      </c>
      <c r="C157" s="28">
        <v>9</v>
      </c>
      <c r="D157" s="23">
        <v>0.74861111111111101</v>
      </c>
      <c r="E157" s="23">
        <v>5.5555555555555358E-3</v>
      </c>
      <c r="F157" s="23">
        <v>5.5555555555555558E-3</v>
      </c>
      <c r="G157" s="23">
        <v>3.6805555555555557E-2</v>
      </c>
      <c r="H157" s="23">
        <v>0.78541666666666654</v>
      </c>
      <c r="I157" s="23">
        <v>0</v>
      </c>
      <c r="J157" s="23">
        <v>2.7777777777777679E-3</v>
      </c>
      <c r="K157" s="23">
        <v>0.74861111111111101</v>
      </c>
      <c r="L157" s="30">
        <v>3.6805555555555536E-2</v>
      </c>
      <c r="M157" s="30">
        <v>0.18402777777777768</v>
      </c>
      <c r="N157" s="23">
        <v>0.2541666666666666</v>
      </c>
      <c r="O157" s="23">
        <v>0.43819444444444428</v>
      </c>
    </row>
    <row r="158" spans="1:15" x14ac:dyDescent="0.35">
      <c r="B158" t="s">
        <v>88</v>
      </c>
      <c r="C158" s="28">
        <v>13</v>
      </c>
      <c r="D158" s="23">
        <v>0.75347222222222221</v>
      </c>
      <c r="E158" s="23">
        <v>5.5555555555555358E-3</v>
      </c>
      <c r="F158" s="23">
        <v>5.5555555555555558E-3</v>
      </c>
      <c r="G158" s="23">
        <v>4.2361111111111106E-2</v>
      </c>
      <c r="H158" s="23">
        <v>0.79583333333333328</v>
      </c>
      <c r="I158" s="23">
        <v>0</v>
      </c>
      <c r="J158" s="23"/>
      <c r="K158" s="23">
        <v>0.75347222222222221</v>
      </c>
      <c r="L158" s="30">
        <v>4.2361111111111072E-2</v>
      </c>
      <c r="M158" s="30">
        <v>0.21180555555555547</v>
      </c>
      <c r="N158" s="23">
        <v>0.22083333333333321</v>
      </c>
      <c r="O158" s="23">
        <v>0.43263888888888868</v>
      </c>
    </row>
    <row r="159" spans="1:15" x14ac:dyDescent="0.35">
      <c r="B159" t="s">
        <v>96</v>
      </c>
      <c r="C159" s="28">
        <v>17</v>
      </c>
      <c r="D159" s="23">
        <v>0.75416666666666654</v>
      </c>
      <c r="E159" s="23">
        <v>5.5555555555555358E-3</v>
      </c>
      <c r="F159" s="23">
        <v>5.5555555555555558E-3</v>
      </c>
      <c r="G159" s="23">
        <v>3.6805555555555557E-2</v>
      </c>
      <c r="H159" s="23">
        <v>0.79097222222222208</v>
      </c>
      <c r="I159" s="23">
        <v>0</v>
      </c>
      <c r="J159" s="23">
        <v>2.7777777777777679E-3</v>
      </c>
      <c r="K159" s="23">
        <v>0.75416666666666654</v>
      </c>
      <c r="L159" s="30">
        <v>3.6805555555555536E-2</v>
      </c>
      <c r="M159" s="30">
        <v>0.1472222222222222</v>
      </c>
      <c r="N159" s="23">
        <v>0.16944444444444429</v>
      </c>
      <c r="O159" s="23">
        <v>0.31666666666666649</v>
      </c>
    </row>
    <row r="160" spans="1:15" x14ac:dyDescent="0.35">
      <c r="A160" t="s">
        <v>70</v>
      </c>
      <c r="B160" t="s">
        <v>88</v>
      </c>
      <c r="C160" s="28">
        <v>1</v>
      </c>
      <c r="D160" s="23">
        <v>0.75902777777777775</v>
      </c>
      <c r="E160" s="23">
        <v>5.5555555555555358E-3</v>
      </c>
      <c r="F160" s="23">
        <v>5.5555555555555558E-3</v>
      </c>
      <c r="G160" s="23">
        <v>4.2361111111111106E-2</v>
      </c>
      <c r="H160" s="23">
        <v>0.80138888888888882</v>
      </c>
      <c r="I160" s="23">
        <v>0</v>
      </c>
      <c r="J160" s="23"/>
      <c r="K160" s="23">
        <v>0.75902777777777775</v>
      </c>
      <c r="L160" s="30">
        <v>4.2361111111111072E-2</v>
      </c>
      <c r="M160" s="30">
        <v>0.2541666666666666</v>
      </c>
      <c r="N160" s="23">
        <v>0.18402777777777768</v>
      </c>
      <c r="O160" s="23">
        <v>0.43819444444444428</v>
      </c>
    </row>
    <row r="161" spans="1:15" x14ac:dyDescent="0.35">
      <c r="B161" t="s">
        <v>96</v>
      </c>
      <c r="C161" s="28">
        <v>18</v>
      </c>
      <c r="D161" s="23">
        <v>0.75972222222222208</v>
      </c>
      <c r="E161" s="23">
        <v>5.5555555555555358E-3</v>
      </c>
      <c r="F161" s="23">
        <v>5.5555555555555558E-3</v>
      </c>
      <c r="G161" s="23">
        <v>3.6805555555555557E-2</v>
      </c>
      <c r="H161" s="23">
        <v>0.79652777777777761</v>
      </c>
      <c r="I161" s="23">
        <v>0</v>
      </c>
      <c r="J161" s="23">
        <v>2.7777777777778789E-3</v>
      </c>
      <c r="K161" s="23">
        <v>0.75972222222222208</v>
      </c>
      <c r="L161" s="30">
        <v>3.6805555555555536E-2</v>
      </c>
      <c r="M161" s="30">
        <v>0.14722222222222214</v>
      </c>
      <c r="N161" s="23">
        <v>0.16944444444444429</v>
      </c>
      <c r="O161" s="23">
        <v>0.31666666666666643</v>
      </c>
    </row>
    <row r="162" spans="1:15" x14ac:dyDescent="0.35">
      <c r="A162" t="s">
        <v>70</v>
      </c>
      <c r="B162" t="s">
        <v>88</v>
      </c>
      <c r="C162" s="28">
        <v>16</v>
      </c>
      <c r="D162" s="23">
        <v>0.76319444444444406</v>
      </c>
      <c r="E162" s="23">
        <v>4.1666666666663188E-3</v>
      </c>
      <c r="F162" s="23">
        <v>5.5555555555555558E-3</v>
      </c>
      <c r="G162" s="23">
        <v>4.2361111111111106E-2</v>
      </c>
      <c r="H162" s="23">
        <v>0.80555555555555514</v>
      </c>
      <c r="I162" s="23">
        <v>1.388888888889217E-3</v>
      </c>
      <c r="J162" s="23"/>
      <c r="K162" s="23">
        <v>0.76458333333333328</v>
      </c>
      <c r="L162" s="30">
        <v>4.2361111111111072E-2</v>
      </c>
      <c r="M162" s="30">
        <v>0.16944444444444434</v>
      </c>
      <c r="N162" s="23">
        <v>0.14722222222222214</v>
      </c>
      <c r="O162" s="23">
        <v>0.31666666666666649</v>
      </c>
    </row>
    <row r="163" spans="1:15" x14ac:dyDescent="0.35">
      <c r="B163" t="s">
        <v>96</v>
      </c>
      <c r="C163" s="28">
        <v>10</v>
      </c>
      <c r="D163" s="23">
        <v>0.76527777777777761</v>
      </c>
      <c r="E163" s="23">
        <v>5.5555555555555358E-3</v>
      </c>
      <c r="F163" s="23">
        <v>5.5555555555555558E-3</v>
      </c>
      <c r="G163" s="23">
        <v>3.6805555555555557E-2</v>
      </c>
      <c r="H163" s="23">
        <v>0.80208333333333315</v>
      </c>
      <c r="I163" s="23">
        <v>0</v>
      </c>
      <c r="J163" s="23">
        <v>2.7777777777777679E-3</v>
      </c>
      <c r="K163" s="23">
        <v>0.76527777777777761</v>
      </c>
      <c r="L163" s="30">
        <v>3.6805555555555536E-2</v>
      </c>
      <c r="M163" s="30">
        <v>0.18402777777777768</v>
      </c>
      <c r="N163" s="23">
        <v>0.2541666666666666</v>
      </c>
      <c r="O163" s="23">
        <v>0.43819444444444428</v>
      </c>
    </row>
    <row r="164" spans="1:15" x14ac:dyDescent="0.35">
      <c r="B164" t="s">
        <v>88</v>
      </c>
      <c r="C164" s="28">
        <v>3</v>
      </c>
      <c r="D164" s="23">
        <v>0.7687499999999996</v>
      </c>
      <c r="E164" s="23">
        <v>5.5555555555555358E-3</v>
      </c>
      <c r="F164" s="23">
        <v>5.5555555555555558E-3</v>
      </c>
      <c r="G164" s="23">
        <v>4.2361111111111106E-2</v>
      </c>
      <c r="H164" s="23">
        <v>0.81111111111111067</v>
      </c>
      <c r="I164" s="23">
        <v>0</v>
      </c>
      <c r="J164" s="23"/>
      <c r="K164" s="23">
        <v>0.7687499999999996</v>
      </c>
      <c r="L164" s="30">
        <v>4.2361111111111072E-2</v>
      </c>
      <c r="M164" s="30">
        <v>0.2118055555555555</v>
      </c>
      <c r="N164" s="23">
        <v>0.1826388888888888</v>
      </c>
      <c r="O164" s="23">
        <v>0.39444444444444426</v>
      </c>
    </row>
    <row r="165" spans="1:15" x14ac:dyDescent="0.35">
      <c r="B165" t="s">
        <v>96</v>
      </c>
      <c r="C165" s="28">
        <v>7</v>
      </c>
      <c r="D165" s="23">
        <v>0.77083333333333315</v>
      </c>
      <c r="E165" s="23">
        <v>5.5555555555555358E-3</v>
      </c>
      <c r="F165" s="23">
        <v>5.5555555555555558E-3</v>
      </c>
      <c r="G165" s="23">
        <v>3.6805555555555557E-2</v>
      </c>
      <c r="H165" s="23">
        <v>0.80763888888888868</v>
      </c>
      <c r="I165" s="23">
        <v>0</v>
      </c>
      <c r="J165" s="23">
        <v>2.7777777777777679E-3</v>
      </c>
      <c r="K165" s="23">
        <v>0.77083333333333315</v>
      </c>
      <c r="L165" s="30">
        <v>3.6805555555555536E-2</v>
      </c>
      <c r="M165" s="30">
        <v>0.22083333333333324</v>
      </c>
      <c r="N165" s="23">
        <v>0.25416666666666654</v>
      </c>
      <c r="O165" s="23">
        <v>0.47499999999999976</v>
      </c>
    </row>
    <row r="166" spans="1:15" x14ac:dyDescent="0.35">
      <c r="A166" t="s">
        <v>70</v>
      </c>
      <c r="B166" t="s">
        <v>88</v>
      </c>
      <c r="C166" s="28">
        <v>4</v>
      </c>
      <c r="D166" s="23">
        <v>0.77430555555555514</v>
      </c>
      <c r="E166" s="23">
        <v>5.5555555555555358E-3</v>
      </c>
      <c r="F166" s="23">
        <v>5.5555555555555558E-3</v>
      </c>
      <c r="G166" s="23">
        <v>4.2361111111111106E-2</v>
      </c>
      <c r="H166" s="23">
        <v>0.81666666666666621</v>
      </c>
      <c r="I166" s="23">
        <v>0</v>
      </c>
      <c r="J166" s="23"/>
      <c r="K166" s="23">
        <v>0.77430555555555514</v>
      </c>
      <c r="L166" s="30">
        <v>4.2361111111111072E-2</v>
      </c>
      <c r="M166" s="30">
        <v>0.21180555555555552</v>
      </c>
      <c r="N166" s="23">
        <v>0.14444444444444438</v>
      </c>
      <c r="O166" s="23">
        <v>0.3562499999999999</v>
      </c>
    </row>
    <row r="167" spans="1:15" x14ac:dyDescent="0.35">
      <c r="B167" t="s">
        <v>96</v>
      </c>
      <c r="C167" s="28">
        <v>11</v>
      </c>
      <c r="D167" s="23">
        <v>0.77638888888888868</v>
      </c>
      <c r="E167" s="23">
        <v>5.5555555555555358E-3</v>
      </c>
      <c r="F167" s="23">
        <v>5.5555555555555558E-3</v>
      </c>
      <c r="G167" s="23">
        <v>3.6805555555555557E-2</v>
      </c>
      <c r="H167" s="23">
        <v>0.81319444444444422</v>
      </c>
      <c r="I167" s="23">
        <v>0</v>
      </c>
      <c r="J167" s="23">
        <v>2.7777777777775502E-3</v>
      </c>
      <c r="K167" s="23">
        <v>0.77638888888888868</v>
      </c>
      <c r="L167" s="30">
        <v>3.6805555555555536E-2</v>
      </c>
      <c r="M167" s="30">
        <v>0.18402777777777768</v>
      </c>
      <c r="N167" s="23">
        <v>0.25416666666666654</v>
      </c>
      <c r="O167" s="23">
        <v>0.43819444444444422</v>
      </c>
    </row>
    <row r="168" spans="1:15" x14ac:dyDescent="0.35">
      <c r="B168" t="s">
        <v>88</v>
      </c>
      <c r="C168" s="28">
        <v>14</v>
      </c>
      <c r="D168" s="23">
        <v>0.77986111111111101</v>
      </c>
      <c r="E168" s="23">
        <v>5.5555555555558689E-3</v>
      </c>
      <c r="F168" s="23">
        <v>5.5555555555555558E-3</v>
      </c>
      <c r="G168" s="23">
        <v>4.2361111111111106E-2</v>
      </c>
      <c r="H168" s="23">
        <v>0.82222222222222208</v>
      </c>
      <c r="I168" s="23">
        <v>0</v>
      </c>
      <c r="J168" s="23"/>
      <c r="K168" s="23">
        <v>0.77986111111111101</v>
      </c>
      <c r="L168" s="30">
        <v>4.2361111111111072E-2</v>
      </c>
      <c r="M168" s="30">
        <v>0.25416666666666654</v>
      </c>
      <c r="N168" s="23">
        <v>0.22083333333333327</v>
      </c>
      <c r="O168" s="23">
        <v>0.47499999999999981</v>
      </c>
    </row>
    <row r="169" spans="1:15" x14ac:dyDescent="0.35">
      <c r="B169" t="s">
        <v>96</v>
      </c>
      <c r="C169" s="28">
        <v>8</v>
      </c>
      <c r="D169" s="23">
        <v>0.78194444444444422</v>
      </c>
      <c r="E169" s="23">
        <v>5.5555555555555358E-3</v>
      </c>
      <c r="F169" s="23">
        <v>5.5555555555555558E-3</v>
      </c>
      <c r="G169" s="23">
        <v>3.6805555555555557E-2</v>
      </c>
      <c r="H169" s="23">
        <v>0.81874999999999976</v>
      </c>
      <c r="I169" s="23">
        <v>0</v>
      </c>
      <c r="J169" s="23">
        <v>2.7777777777774301E-3</v>
      </c>
      <c r="K169" s="23">
        <v>0.78194444444444422</v>
      </c>
      <c r="L169" s="30">
        <v>3.6805555555555536E-2</v>
      </c>
      <c r="M169" s="30">
        <v>0.22083333333333321</v>
      </c>
      <c r="N169" s="23">
        <v>0.25416666666666654</v>
      </c>
      <c r="O169" s="23">
        <v>0.47499999999999976</v>
      </c>
    </row>
    <row r="170" spans="1:15" x14ac:dyDescent="0.35">
      <c r="A170" t="s">
        <v>70</v>
      </c>
      <c r="B170" t="s">
        <v>88</v>
      </c>
      <c r="C170" s="28">
        <v>9</v>
      </c>
      <c r="D170" s="23">
        <v>0.78541666666666654</v>
      </c>
      <c r="E170" s="23">
        <v>5.5555555555555358E-3</v>
      </c>
      <c r="F170" s="23">
        <v>5.5555555555555558E-3</v>
      </c>
      <c r="G170" s="23">
        <v>4.2361111111111106E-2</v>
      </c>
      <c r="H170" s="23">
        <v>0.82777777777777761</v>
      </c>
      <c r="I170" s="23">
        <v>0</v>
      </c>
      <c r="J170" s="23"/>
      <c r="K170" s="23">
        <v>0.78541666666666654</v>
      </c>
      <c r="L170" s="30">
        <v>4.2361111111111072E-2</v>
      </c>
      <c r="M170" s="30">
        <v>0.2541666666666666</v>
      </c>
      <c r="N170" s="23">
        <v>0.18402777777777768</v>
      </c>
      <c r="O170" s="23">
        <v>0.43819444444444428</v>
      </c>
    </row>
    <row r="171" spans="1:15" x14ac:dyDescent="0.35">
      <c r="B171" t="s">
        <v>96</v>
      </c>
      <c r="C171" s="28">
        <v>2</v>
      </c>
      <c r="D171" s="23">
        <v>0.78749999999999976</v>
      </c>
      <c r="E171" s="23">
        <v>5.5555555555555358E-3</v>
      </c>
      <c r="F171" s="23">
        <v>5.5555555555555558E-3</v>
      </c>
      <c r="G171" s="23">
        <v>3.6805555555555557E-2</v>
      </c>
      <c r="H171" s="23">
        <v>0.82430555555555529</v>
      </c>
      <c r="I171" s="23">
        <v>0</v>
      </c>
      <c r="J171" s="23">
        <v>2.7777777777773199E-3</v>
      </c>
      <c r="K171" s="23">
        <v>0.78749999999999976</v>
      </c>
      <c r="L171" s="30">
        <v>3.6805555555555536E-2</v>
      </c>
      <c r="M171" s="30">
        <v>0.18402777777777768</v>
      </c>
      <c r="N171" s="23">
        <v>0.25416666666666654</v>
      </c>
      <c r="O171" s="23">
        <v>0.43819444444444422</v>
      </c>
    </row>
    <row r="172" spans="1:15" x14ac:dyDescent="0.35">
      <c r="A172" t="s">
        <v>70</v>
      </c>
      <c r="B172" t="s">
        <v>88</v>
      </c>
      <c r="C172" s="28">
        <v>17</v>
      </c>
      <c r="D172" s="23">
        <v>0.79097222222222208</v>
      </c>
      <c r="E172" s="23">
        <v>5.5555555555555358E-3</v>
      </c>
      <c r="F172" s="23">
        <v>5.5555555555555558E-3</v>
      </c>
      <c r="G172" s="23">
        <v>4.2361111111111106E-2</v>
      </c>
      <c r="H172" s="23">
        <v>0.83333333333333315</v>
      </c>
      <c r="I172" s="23">
        <v>0</v>
      </c>
      <c r="J172" s="23"/>
      <c r="K172" s="23">
        <v>0.79097222222222208</v>
      </c>
      <c r="L172" s="30">
        <v>4.2361111111111072E-2</v>
      </c>
      <c r="M172" s="30">
        <v>0.16944444444444429</v>
      </c>
      <c r="N172" s="23">
        <v>0.1472222222222222</v>
      </c>
      <c r="O172" s="23">
        <v>0.31666666666666649</v>
      </c>
    </row>
    <row r="173" spans="1:15" x14ac:dyDescent="0.35">
      <c r="B173" t="s">
        <v>96</v>
      </c>
      <c r="C173" s="28">
        <v>12</v>
      </c>
      <c r="D173" s="23">
        <v>0.79305555555555529</v>
      </c>
      <c r="E173" s="23">
        <v>5.5555555555555358E-3</v>
      </c>
      <c r="F173" s="23">
        <v>5.5555555555555558E-3</v>
      </c>
      <c r="G173" s="23">
        <v>3.6805555555555557E-2</v>
      </c>
      <c r="H173" s="23">
        <v>0.82986111111111083</v>
      </c>
      <c r="I173" s="23">
        <v>0</v>
      </c>
      <c r="J173" s="23">
        <v>2.7777777777772102E-3</v>
      </c>
      <c r="K173" s="23">
        <v>0.79305555555555529</v>
      </c>
      <c r="L173" s="30">
        <v>3.6805555555555536E-2</v>
      </c>
      <c r="M173" s="30">
        <v>0.18402777777777768</v>
      </c>
      <c r="N173" s="23">
        <v>0.2541666666666666</v>
      </c>
      <c r="O173" s="23">
        <v>0.43819444444444428</v>
      </c>
    </row>
    <row r="174" spans="1:15" x14ac:dyDescent="0.35">
      <c r="B174" t="s">
        <v>88</v>
      </c>
      <c r="C174" s="28">
        <v>18</v>
      </c>
      <c r="D174" s="23">
        <v>0.79652777777777761</v>
      </c>
      <c r="E174" s="23">
        <v>5.5555555555555358E-3</v>
      </c>
      <c r="F174" s="23">
        <v>5.5555555555555558E-3</v>
      </c>
      <c r="G174" s="23">
        <v>4.2361111111111106E-2</v>
      </c>
      <c r="H174" s="23">
        <v>0.83888888888888868</v>
      </c>
      <c r="I174" s="23">
        <v>0</v>
      </c>
      <c r="J174" s="23"/>
      <c r="K174" s="23">
        <v>0.79652777777777761</v>
      </c>
      <c r="L174" s="30">
        <v>4.2361111111111072E-2</v>
      </c>
      <c r="M174" s="30">
        <v>0.16944444444444429</v>
      </c>
      <c r="N174" s="23">
        <v>0.18402777777777768</v>
      </c>
      <c r="O174" s="23">
        <v>0.35347222222222197</v>
      </c>
    </row>
    <row r="175" spans="1:15" x14ac:dyDescent="0.35">
      <c r="B175" t="s">
        <v>96</v>
      </c>
      <c r="C175" s="28">
        <v>13</v>
      </c>
      <c r="D175" s="23">
        <v>0.79861111111111083</v>
      </c>
      <c r="E175" s="23">
        <v>5.5555555555555358E-3</v>
      </c>
      <c r="F175" s="23">
        <v>5.5555555555555558E-3</v>
      </c>
      <c r="G175" s="23">
        <v>3.6805555555555557E-2</v>
      </c>
      <c r="H175" s="23">
        <v>0.83541666666666636</v>
      </c>
      <c r="I175" s="23">
        <v>0</v>
      </c>
      <c r="J175" s="23">
        <v>2.7777777777771E-3</v>
      </c>
      <c r="K175" s="23">
        <v>0.79861111111111083</v>
      </c>
      <c r="L175" s="30">
        <v>3.6805555555555536E-2</v>
      </c>
      <c r="M175" s="30">
        <v>0.22083333333333321</v>
      </c>
      <c r="N175" s="23">
        <v>0.25416666666666654</v>
      </c>
      <c r="O175" s="23">
        <v>0.47499999999999976</v>
      </c>
    </row>
    <row r="176" spans="1:15" x14ac:dyDescent="0.35">
      <c r="A176" t="s">
        <v>70</v>
      </c>
      <c r="B176" t="s">
        <v>88</v>
      </c>
      <c r="C176" s="28">
        <v>10</v>
      </c>
      <c r="D176" s="23">
        <v>0.80208333333333315</v>
      </c>
      <c r="E176" s="23">
        <v>5.5555555555555358E-3</v>
      </c>
      <c r="F176" s="23">
        <v>5.5555555555555558E-3</v>
      </c>
      <c r="G176" s="23">
        <v>4.2361111111111106E-2</v>
      </c>
      <c r="H176" s="23">
        <v>0.84444444444444422</v>
      </c>
      <c r="I176" s="23">
        <v>0</v>
      </c>
      <c r="J176" s="23"/>
      <c r="K176" s="23">
        <v>0.80208333333333315</v>
      </c>
      <c r="L176" s="30">
        <v>4.2361111111111072E-2</v>
      </c>
      <c r="M176" s="30">
        <v>0.2541666666666666</v>
      </c>
      <c r="N176" s="23">
        <v>0.18402777777777768</v>
      </c>
      <c r="O176" s="23">
        <v>0.43819444444444428</v>
      </c>
    </row>
    <row r="177" spans="1:15" x14ac:dyDescent="0.35">
      <c r="A177" t="s">
        <v>70</v>
      </c>
      <c r="B177" t="s">
        <v>88</v>
      </c>
      <c r="C177" s="28">
        <v>7</v>
      </c>
      <c r="D177" s="23">
        <v>0.80763888888888868</v>
      </c>
      <c r="E177" s="23">
        <v>5.5555555555555358E-3</v>
      </c>
      <c r="F177" s="23">
        <v>1.0416666666666666E-2</v>
      </c>
      <c r="G177" s="23">
        <v>4.2361111111111106E-2</v>
      </c>
      <c r="H177" s="23">
        <v>0.84999999999999976</v>
      </c>
      <c r="I177" s="23">
        <v>4.8611111111110938E-3</v>
      </c>
      <c r="J177" s="23"/>
      <c r="K177" s="23">
        <v>0.81249999999999978</v>
      </c>
      <c r="L177" s="30">
        <v>4.2361111111111072E-2</v>
      </c>
      <c r="M177" s="30">
        <v>0.25416666666666654</v>
      </c>
      <c r="N177" s="23">
        <v>0.22083333333333324</v>
      </c>
      <c r="O177" s="23">
        <v>0.47499999999999976</v>
      </c>
    </row>
    <row r="178" spans="1:15" x14ac:dyDescent="0.35">
      <c r="B178" t="s">
        <v>96</v>
      </c>
      <c r="C178" s="28">
        <v>3</v>
      </c>
      <c r="D178" s="23">
        <v>0.81111111111111067</v>
      </c>
      <c r="E178" s="23">
        <v>1.2499999999999845E-2</v>
      </c>
      <c r="F178" s="23">
        <v>1.0416666666666666E-2</v>
      </c>
      <c r="G178" s="23">
        <v>3.6805555555555557E-2</v>
      </c>
      <c r="H178" s="23">
        <v>0.84791666666666621</v>
      </c>
      <c r="I178" s="23">
        <v>-2.0833333333332149E-3</v>
      </c>
      <c r="J178" s="23"/>
      <c r="K178" s="23">
        <v>0.80902777777777746</v>
      </c>
      <c r="L178" s="30">
        <v>3.6805555555555536E-2</v>
      </c>
      <c r="M178" s="30">
        <v>0.1826388888888888</v>
      </c>
      <c r="N178" s="23">
        <v>0.25416666666666654</v>
      </c>
      <c r="O178" s="23">
        <v>0.43680555555555534</v>
      </c>
    </row>
    <row r="179" spans="1:15" x14ac:dyDescent="0.35">
      <c r="B179" t="s">
        <v>88</v>
      </c>
      <c r="C179" s="28">
        <v>11</v>
      </c>
      <c r="D179" s="23">
        <v>0.81319444444444422</v>
      </c>
      <c r="E179" s="23">
        <v>5.5555555555555358E-3</v>
      </c>
      <c r="F179" s="23">
        <v>1.0416666666666666E-2</v>
      </c>
      <c r="G179" s="23">
        <v>4.2361111111111106E-2</v>
      </c>
      <c r="H179" s="23">
        <v>0.85555555555555529</v>
      </c>
      <c r="I179" s="23">
        <v>4.8611111111110938E-3</v>
      </c>
      <c r="J179" s="23"/>
      <c r="K179" s="23">
        <v>0.81805555555555531</v>
      </c>
      <c r="L179" s="30">
        <v>4.2361111111111072E-2</v>
      </c>
      <c r="M179" s="30">
        <v>0.25416666666666654</v>
      </c>
      <c r="N179" s="23">
        <v>0.22083333333333321</v>
      </c>
      <c r="O179" s="23">
        <v>0.47499999999999976</v>
      </c>
    </row>
    <row r="180" spans="1:15" x14ac:dyDescent="0.35">
      <c r="A180" t="s">
        <v>70</v>
      </c>
      <c r="B180" t="s">
        <v>88</v>
      </c>
      <c r="C180" s="28">
        <v>8</v>
      </c>
      <c r="D180" s="23">
        <v>0.81874999999999976</v>
      </c>
      <c r="E180" s="23">
        <v>5.5555555555555358E-3</v>
      </c>
      <c r="F180" s="23">
        <v>1.0416666666666666E-2</v>
      </c>
      <c r="G180" s="23">
        <v>4.2361111111111106E-2</v>
      </c>
      <c r="H180" s="23">
        <v>0.86111111111111083</v>
      </c>
      <c r="I180" s="23">
        <v>4.8611111111110938E-3</v>
      </c>
      <c r="J180" s="23"/>
      <c r="K180" s="23">
        <v>0.82361111111111085</v>
      </c>
      <c r="L180" s="30">
        <v>4.2361111111111072E-2</v>
      </c>
      <c r="M180" s="30">
        <v>0.25416666666666654</v>
      </c>
      <c r="N180" s="23">
        <v>0.22083333333333321</v>
      </c>
      <c r="O180" s="23">
        <v>0.47499999999999976</v>
      </c>
    </row>
    <row r="181" spans="1:15" x14ac:dyDescent="0.35">
      <c r="B181" t="s">
        <v>96</v>
      </c>
      <c r="C181" s="28">
        <v>14</v>
      </c>
      <c r="D181" s="23">
        <v>0.82222222222222208</v>
      </c>
      <c r="E181" s="23">
        <v>1.1111111111111405E-2</v>
      </c>
      <c r="F181" s="23">
        <v>1.0416666666666666E-2</v>
      </c>
      <c r="G181" s="23">
        <v>3.6805555555555557E-2</v>
      </c>
      <c r="H181" s="23">
        <v>0.85902777777777761</v>
      </c>
      <c r="I181" s="23">
        <v>-6.9444444444477504E-4</v>
      </c>
      <c r="J181" s="23"/>
      <c r="K181" s="23">
        <v>0.8215277777777773</v>
      </c>
      <c r="L181" s="30">
        <v>3.6805555555555536E-2</v>
      </c>
      <c r="M181" s="30">
        <v>0.22083333333333327</v>
      </c>
      <c r="N181" s="23">
        <v>0.25416666666666654</v>
      </c>
      <c r="O181" s="23">
        <v>0.47499999999999981</v>
      </c>
    </row>
    <row r="182" spans="1:15" x14ac:dyDescent="0.35">
      <c r="A182" t="s">
        <v>70</v>
      </c>
      <c r="B182" t="s">
        <v>88</v>
      </c>
      <c r="C182" s="28">
        <v>2</v>
      </c>
      <c r="D182" s="23">
        <v>0.82430555555555529</v>
      </c>
      <c r="E182" s="23">
        <v>5.5555555555555358E-3</v>
      </c>
      <c r="F182" s="23">
        <v>1.0416666666666666E-2</v>
      </c>
      <c r="G182" s="23">
        <v>4.2361111111111106E-2</v>
      </c>
      <c r="H182" s="23">
        <v>0.86666666666666636</v>
      </c>
      <c r="I182" s="23">
        <v>4.8611111111110938E-3</v>
      </c>
      <c r="J182" s="23"/>
      <c r="K182" s="23">
        <v>0.82916666666666639</v>
      </c>
      <c r="L182" s="30">
        <v>4.2361111111111072E-2</v>
      </c>
      <c r="M182" s="30">
        <v>0.25416666666666654</v>
      </c>
      <c r="N182" s="23">
        <v>0.18402777777777768</v>
      </c>
      <c r="O182" s="23">
        <v>0.43819444444444422</v>
      </c>
    </row>
    <row r="183" spans="1:15" x14ac:dyDescent="0.35">
      <c r="B183" t="s">
        <v>88</v>
      </c>
      <c r="C183" s="28">
        <v>12</v>
      </c>
      <c r="D183" s="23">
        <v>0.82986111111111083</v>
      </c>
      <c r="E183" s="23">
        <v>5.5555555555555358E-3</v>
      </c>
      <c r="F183" s="23">
        <v>1.0416666666666666E-2</v>
      </c>
      <c r="G183" s="23">
        <v>4.2361111111111106E-2</v>
      </c>
      <c r="H183" s="23">
        <v>0.8722222222222219</v>
      </c>
      <c r="I183" s="23">
        <v>4.8611111111110938E-3</v>
      </c>
      <c r="J183" s="23"/>
      <c r="K183" s="23">
        <v>0.83472222222222192</v>
      </c>
      <c r="L183" s="30">
        <v>4.2361111111111072E-2</v>
      </c>
      <c r="M183" s="30">
        <v>0.2541666666666666</v>
      </c>
      <c r="N183" s="23">
        <v>0.22083333333333321</v>
      </c>
      <c r="O183" s="23">
        <v>0.47499999999999981</v>
      </c>
    </row>
    <row r="184" spans="1:15" x14ac:dyDescent="0.35">
      <c r="A184" t="s">
        <v>70</v>
      </c>
      <c r="B184" t="s">
        <v>88</v>
      </c>
      <c r="C184" s="28">
        <v>13</v>
      </c>
      <c r="D184" s="23">
        <v>0.83541666666666636</v>
      </c>
      <c r="E184" s="23">
        <v>5.5555555555555358E-3</v>
      </c>
      <c r="F184" s="23">
        <v>1.7361111111111112E-2</v>
      </c>
      <c r="G184" s="23">
        <v>4.2361111111111106E-2</v>
      </c>
      <c r="H184" s="23">
        <v>0.87777777777777743</v>
      </c>
      <c r="I184" s="23">
        <v>1.1805555555555625E-2</v>
      </c>
      <c r="J184" s="23"/>
      <c r="K184" s="23">
        <v>0.84722222222222199</v>
      </c>
      <c r="L184" s="30">
        <v>4.2361111111111072E-2</v>
      </c>
      <c r="M184" s="30">
        <v>0.25416666666666654</v>
      </c>
      <c r="N184" s="23">
        <v>0.22083333333333321</v>
      </c>
      <c r="O184" s="23">
        <v>0.47499999999999976</v>
      </c>
    </row>
    <row r="185" spans="1:15" x14ac:dyDescent="0.35">
      <c r="B185" t="s">
        <v>96</v>
      </c>
      <c r="C185" s="28">
        <v>18</v>
      </c>
      <c r="D185" s="23">
        <v>0.83888888888888868</v>
      </c>
      <c r="E185" s="23">
        <v>1.6666666666666607E-2</v>
      </c>
      <c r="F185" s="23">
        <v>1.7361111111111112E-2</v>
      </c>
      <c r="G185" s="23">
        <v>3.6805555555555557E-2</v>
      </c>
      <c r="H185" s="23">
        <v>0.87569444444444422</v>
      </c>
      <c r="I185" s="23">
        <v>6.94444444444553E-4</v>
      </c>
      <c r="J185" s="23"/>
      <c r="K185" s="23">
        <v>0.83958333333333324</v>
      </c>
      <c r="L185" s="30">
        <v>3.6805555555555536E-2</v>
      </c>
      <c r="M185" s="30">
        <v>0.18402777777777768</v>
      </c>
      <c r="N185" s="23">
        <v>0.16944444444444429</v>
      </c>
      <c r="O185" s="23">
        <v>0.35347222222222197</v>
      </c>
    </row>
    <row r="186" spans="1:15" x14ac:dyDescent="0.35">
      <c r="A186" t="s">
        <v>70</v>
      </c>
      <c r="B186" t="s">
        <v>88</v>
      </c>
      <c r="C186" s="28">
        <v>3</v>
      </c>
      <c r="D186" s="23">
        <v>0.84791666666666621</v>
      </c>
      <c r="E186" s="23">
        <v>1.2499999999999845E-2</v>
      </c>
      <c r="F186" s="23">
        <v>1.7361111111111112E-2</v>
      </c>
      <c r="G186" s="23">
        <v>4.2361111111111106E-2</v>
      </c>
      <c r="H186" s="23">
        <v>0.89027777777777728</v>
      </c>
      <c r="I186" s="23">
        <v>4.8611111111113159E-3</v>
      </c>
      <c r="J186" s="23"/>
      <c r="K186" s="23">
        <v>0.85277777777777752</v>
      </c>
      <c r="L186" s="30">
        <v>4.2361111111111072E-2</v>
      </c>
      <c r="M186" s="30">
        <v>0.25416666666666654</v>
      </c>
      <c r="N186" s="23">
        <v>0.1826388888888888</v>
      </c>
      <c r="O186" s="23">
        <v>0.43680555555555534</v>
      </c>
    </row>
    <row r="187" spans="1:15" x14ac:dyDescent="0.35">
      <c r="B187" t="s">
        <v>96</v>
      </c>
      <c r="C187" s="28">
        <v>11</v>
      </c>
      <c r="D187" s="23">
        <v>0.85555555555555529</v>
      </c>
      <c r="E187" s="23">
        <v>1.6666666666666607E-2</v>
      </c>
      <c r="F187" s="23">
        <v>1.7361111111111112E-2</v>
      </c>
      <c r="G187" s="23">
        <v>3.6805555555555557E-2</v>
      </c>
      <c r="H187" s="23">
        <v>0.89236111111111083</v>
      </c>
      <c r="I187" s="23">
        <v>6.94444444444553E-4</v>
      </c>
      <c r="J187" s="23"/>
      <c r="K187" s="23">
        <v>0.85624999999999984</v>
      </c>
      <c r="L187" s="30">
        <v>3.6805555555555536E-2</v>
      </c>
      <c r="M187" s="30">
        <v>0.22083333333333321</v>
      </c>
      <c r="N187" s="23">
        <v>0.25416666666666654</v>
      </c>
      <c r="O187" s="23">
        <v>0.47499999999999976</v>
      </c>
    </row>
    <row r="188" spans="1:15" x14ac:dyDescent="0.35">
      <c r="B188" t="s">
        <v>96</v>
      </c>
      <c r="C188" s="28">
        <v>12</v>
      </c>
      <c r="D188" s="23">
        <v>0.8722222222222219</v>
      </c>
      <c r="E188" s="23">
        <v>1.6666666666666607E-2</v>
      </c>
      <c r="F188" s="23">
        <v>1.7361111111111112E-2</v>
      </c>
      <c r="G188" s="23">
        <v>3.6805555555555557E-2</v>
      </c>
      <c r="H188" s="23">
        <v>0.90902777777777743</v>
      </c>
      <c r="I188" s="23">
        <v>6.94444444444553E-4</v>
      </c>
      <c r="J188" s="23"/>
      <c r="K188" s="23">
        <v>0.87291666666666645</v>
      </c>
      <c r="L188" s="30">
        <v>3.6805555555555536E-2</v>
      </c>
      <c r="M188" s="30">
        <v>0.22083333333333321</v>
      </c>
      <c r="N188" s="23">
        <v>0.2541666666666666</v>
      </c>
      <c r="O188" s="23">
        <v>0.47499999999999981</v>
      </c>
    </row>
    <row r="191" spans="1:15" ht="15" thickBot="1" x14ac:dyDescent="0.4"/>
    <row r="192" spans="1:15" ht="15" thickBot="1" x14ac:dyDescent="0.4">
      <c r="F192" s="43" t="s">
        <v>87</v>
      </c>
      <c r="G192" s="43" t="s">
        <v>79</v>
      </c>
      <c r="H192" s="44">
        <v>1.9097222222222265E-2</v>
      </c>
      <c r="I192" s="45">
        <v>0.50972222222222163</v>
      </c>
      <c r="J192" s="30">
        <f>+I192-H192</f>
        <v>0.49062499999999937</v>
      </c>
    </row>
    <row r="193" spans="6:10" ht="15" thickBot="1" x14ac:dyDescent="0.4">
      <c r="F193" s="7" t="s">
        <v>87</v>
      </c>
      <c r="G193" s="7" t="s">
        <v>78</v>
      </c>
      <c r="H193" s="44">
        <v>9.0277777777777787E-3</v>
      </c>
      <c r="I193" s="45">
        <v>0.4999999999999995</v>
      </c>
      <c r="J193" s="23">
        <f>+I193-H193</f>
        <v>0.4909722222222217</v>
      </c>
    </row>
  </sheetData>
  <conditionalFormatting sqref="A1 A189:A1048576">
    <cfRule type="containsText" dxfId="23" priority="9" operator="containsText" text="u">
      <formula>NOT(ISERROR(SEARCH("u",A1)))</formula>
    </cfRule>
    <cfRule type="containsText" dxfId="22" priority="10" operator="containsText" text="i">
      <formula>NOT(ISERROR(SEARCH("i",A1)))</formula>
    </cfRule>
  </conditionalFormatting>
  <conditionalFormatting sqref="B2:B188">
    <cfRule type="containsText" dxfId="21" priority="5" operator="containsText" text="VeredaTr">
      <formula>NOT(ISERROR(SEARCH("VeredaTr",B2)))</formula>
    </cfRule>
    <cfRule type="containsText" dxfId="20" priority="6" operator="containsText" text="TrCeib">
      <formula>NOT(ISERROR(SEARCH("TrCeib",B2)))</formula>
    </cfRule>
  </conditionalFormatting>
  <conditionalFormatting sqref="A2:A96">
    <cfRule type="containsText" dxfId="19" priority="3" operator="containsText" text="u">
      <formula>NOT(ISERROR(SEARCH("u",A2)))</formula>
    </cfRule>
    <cfRule type="containsText" dxfId="18" priority="4" operator="containsText" text="i">
      <formula>NOT(ISERROR(SEARCH("i",A2)))</formula>
    </cfRule>
  </conditionalFormatting>
  <conditionalFormatting sqref="A97:A188">
    <cfRule type="containsText" dxfId="17" priority="1" operator="containsText" text="u">
      <formula>NOT(ISERROR(SEARCH("u",A97)))</formula>
    </cfRule>
    <cfRule type="containsText" dxfId="16" priority="2" operator="containsText" text="i">
      <formula>NOT(ISERROR(SEARCH("i",A97)))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ATRIBUTOS_RUTAS</vt:lpstr>
      <vt:lpstr>PROGRAMACION</vt:lpstr>
      <vt:lpstr>TimposCicloCB</vt:lpstr>
      <vt:lpstr>10SEP22</vt:lpstr>
      <vt:lpstr>ARCOS</vt:lpstr>
      <vt:lpstr>OFERTA (4)</vt:lpstr>
      <vt:lpstr>D_Plantillas (4.2)</vt:lpstr>
      <vt:lpstr>D_Plantillas (4)</vt:lpstr>
      <vt:lpstr>DESPACHOS_Plantilla (4)</vt:lpstr>
      <vt:lpstr>RESUMEN</vt:lpstr>
      <vt:lpstr>OFERTA (3)</vt:lpstr>
      <vt:lpstr>D_Plantillas (3)</vt:lpstr>
      <vt:lpstr>D_Plantillas (2)</vt:lpstr>
      <vt:lpstr>D_Plantillas</vt:lpstr>
      <vt:lpstr>DESPACHOS_Plantilla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 Arrieta</dc:creator>
  <cp:lastModifiedBy>Alejandra Tabares Pozos</cp:lastModifiedBy>
  <dcterms:created xsi:type="dcterms:W3CDTF">2022-08-29T21:03:59Z</dcterms:created>
  <dcterms:modified xsi:type="dcterms:W3CDTF">2024-08-04T19:12:46Z</dcterms:modified>
</cp:coreProperties>
</file>